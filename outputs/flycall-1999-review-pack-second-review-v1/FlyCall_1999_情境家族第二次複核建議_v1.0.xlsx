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93c027d90244db" /></Relationships>
</file>

<file path=xl/workbook.xml><?xml version="1.0" encoding="utf-8"?>
<x:workbook xmlns:x="http://schemas.openxmlformats.org/spreadsheetml/2006/main">
  <x:sheets>
    <x:sheet xmlns:r="http://schemas.openxmlformats.org/officeDocument/2006/relationships" name="Pilot 複核" sheetId="1" r:id="R7670dea1fd3d4fb6"/>
    <x:sheet xmlns:r="http://schemas.openxmlformats.org/officeDocument/2006/relationships" name="情境家族複核" sheetId="2" r:id="R8941e26c699b404c"/>
    <x:sheet xmlns:r="http://schemas.openxmlformats.org/officeDocument/2006/relationships" name="複核說明" sheetId="3" r:id="R4e862ab6a5074d5e"/>
    <x:sheet xmlns:r="http://schemas.openxmlformats.org/officeDocument/2006/relationships" name="切分比較" sheetId="4" r:id="R7aad404e921d4e3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24313F"/>
      <x:name val="Arial"/>
    </x:font>
    <x:font>
      <x:b/>
      <x:sz val="10"/>
      <x:color rgb="FFFFFFFF"/>
      <x:name val="Arial"/>
    </x:font>
    <x:font>
      <x:b/>
      <x:sz val="10"/>
      <x:color rgb="FF24313F"/>
      <x:name val="Arial"/>
    </x:font>
    <x:font>
      <x:b/>
      <x:sz val="11"/>
      <x:color rgb="FFFFFFFF"/>
      <x:name val="Carlito"/>
    </x:font>
    <x:font>
      <x:b/>
      <x:sz val="11"/>
      <x:color rgb="FF49365F"/>
      <x:name val="Carlito"/>
    </x:font>
    <x:font>
      <x:sz val="11"/>
      <x:color rgb="FF202020"/>
      <x:name val="Carlito"/>
    </x:font>
  </x:fonts>
  <x:fills count="9">
    <x:fill>
      <x:patternFill patternType="none"/>
    </x:fill>
    <x:fill>
      <x:patternFill patternType="gray125"/>
    </x:fill>
    <x:fill>
      <x:patternFill patternType="solid">
        <x:fgColor rgb="FF243B53"/>
      </x:patternFill>
    </x:fill>
    <x:fill>
      <x:patternFill patternType="solid">
        <x:fgColor rgb="FFFFF7DF"/>
      </x:patternFill>
    </x:fill>
    <x:fill>
      <x:patternFill patternType="solid">
        <x:fgColor rgb="FF684B8C"/>
      </x:patternFill>
    </x:fill>
    <x:fill>
      <x:patternFill patternType="solid">
        <x:fgColor rgb="FFF4F0F8"/>
      </x:patternFill>
    </x:fill>
    <x:fill>
      <x:patternFill patternType="solid">
        <x:fgColor rgb="FFEEE7F5"/>
      </x:patternFill>
    </x:fill>
    <x:fill>
      <x:patternFill patternType="solid">
        <x:fgColor rgb="FF6E4B8B"/>
      </x:patternFill>
    </x:fill>
    <x:fill>
      <x:patternFill patternType="solid">
        <x:fgColor rgb="FFF4EFF8"/>
      </x:patternFill>
    </x:fill>
  </x:fills>
  <x:borders count="2">
    <x:border/>
    <x:border>
      <x:bottom style="thin">
        <x:color rgb="FFD9CFE2"/>
      </x:bottom>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0" fillId="2" borderId="0" xfId="0" applyNumberFormat="1" applyFont="1" applyFill="1" applyBorder="1"/>
    <x:xf numFmtId="0" fontId="2"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4" fillId="4" borderId="0" xfId="0" applyNumberFormat="1" applyFont="1" applyFill="1" applyBorder="1" applyAlignment="1">
      <x:alignment horizontal="center" vertical="center" wrapText="1"/>
    </x:xf>
    <x:xf numFmtId="0" fontId="0" fillId="5" borderId="0" xfId="0" applyNumberFormat="1" applyFont="1" applyFill="1" applyBorder="1"/>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0" fontId="0" fillId="5" xfId="0" applyNumberFormat="1" applyFont="1" applyFill="1" applyBorder="0"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horizontal="center" wrapText="1"/>
    </x:xf>
    <x:xf numFmtId="0" fontId="4" fillId="7" borderId="0" xfId="0" applyNumberFormat="1" applyFont="1" applyFill="1" applyBorder="1" applyAlignment="1">
      <x:alignment horizontal="center" vertic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top" wrapText="1"/>
    </x:xf>
    <x:xf numFmtId="0" fontId="6" fillId="8" borderId="0" xfId="0" applyNumberFormat="1" applyFont="1" applyFill="1" applyBorder="1" applyAlignment="1">
      <x:alignment horizontal="center" vertical="top" wrapText="1"/>
    </x:xf>
    <x:xf numFmtId="0" fontId="4" fillId="7" xfId="0" applyNumberFormat="1" applyFont="1" applyFill="1" applyBorder="0" applyAlignment="1">
      <x:alignment horizontal="center" vertical="center" wrapText="1"/>
    </x:xf>
    <x:xf numFmtId="0" fontId="6" fillId="8" xfId="0" applyNumberFormat="1" applyFont="1" applyFill="1" applyBorder="0" applyAlignment="1">
      <x:alignment horizontal="center" vertical="top" wrapText="1"/>
    </x:xf>
    <x:xf numFmtId="0" fontId="6" fillId="8" xfId="0" applyNumberFormat="1" applyFont="1" applyFill="1" applyBorder="0" applyAlignment="1">
      <x:alignment vertical="top" wrapText="1"/>
    </x:xf>
    <x:xf numFmtId="0" fontId="6" fillId="8" borderId="1" xfId="0" applyNumberFormat="1" applyFont="1" applyFill="1" applyBorder="1" applyAlignment="1">
      <x:alignment horizontal="center" vertical="top" wrapText="1"/>
    </x:xf>
    <x:xf numFmtId="0" fontId="6" fillId="8"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1d9f8db10f4fcd" /><Relationship Type="http://schemas.openxmlformats.org/officeDocument/2006/relationships/theme" Target="/xl/theme/theme1.xml" Id="Rba2abb34348543c7" /><Relationship Type="http://schemas.openxmlformats.org/officeDocument/2006/relationships/sharedStrings" Target="/xl/sharedStrings.xml" Id="R936f4edd710d4f43" /><Relationship Type="http://schemas.openxmlformats.org/officeDocument/2006/relationships/worksheet" Target="/xl/worksheets/sheet1.xml" Id="R7670dea1fd3d4fb6" /><Relationship Type="http://schemas.openxmlformats.org/officeDocument/2006/relationships/worksheet" Target="/xl/worksheets/sheet2.xml" Id="R8941e26c699b404c" /><Relationship Type="http://schemas.openxmlformats.org/officeDocument/2006/relationships/worksheet" Target="/xl/worksheets/sheet3.xml" Id="R4e862ab6a5074d5e" /><Relationship Type="http://schemas.openxmlformats.org/officeDocument/2006/relationships/worksheet" Target="/xl/worksheets/sheet4.xml" Id="R7aad404e921d4e35" /></Relationships>
</file>

<file path=xl/tables/table1.xml><?xml version="1.0" encoding="utf-8"?>
<x:table xmlns:x="http://schemas.openxmlformats.org/spreadsheetml/2006/main" id="1" name="PilotReviewTable" displayName="PilotReviewTable" ref="A1:M51" headerRowCount="1" totalsRowCount="0" totalsRowShown="0">
  <x:tableColumns count="13">
    <x:tableColumn id="1" name="id"/>
    <x:tableColumn id="2" name="label_name"/>
    <x:tableColumn id="3" name="scenario_family_id"/>
    <x:tableColumn id="4" name="逐字稿"/>
    <x:tableColumn id="5" name="分類是否合適"/>
    <x:tableColumn id="6" name="是否只有一個主要問題"/>
    <x:tableColumn id="7" name="對話是否連貫"/>
    <x:tableColumn id="8" name="臺灣口語自然度"/>
    <x:tableColumn id="9" name="位置描述是否清楚"/>
    <x:tableColumn id="10" name="是否有個資風險"/>
    <x:tableColumn id="11" name="是否與其他紀錄過度相似"/>
    <x:tableColumn id="12" name="人工決定"/>
    <x:tableColumn id="13" name="修改意見"/>
  </x:tableColumns>
  <x:tableStyleInfo name="TableStyleMedium2" showFirstColumn="0" showLastColumn="0" showRowStripes="1" showColumnStripes="0"/>
</x:table>
</file>

<file path=xl/tables/table2.xml><?xml version="1.0" encoding="utf-8"?>
<x:table xmlns:x="http://schemas.openxmlformats.org/spreadsheetml/2006/main" id="2" name="ScenarioFamilyReviewTable" displayName="ScenarioFamilyReviewTable" ref="A1:J76" headerRowCount="1" totalsRowCount="0" totalsRowShown="0">
  <x:tableColumns count="10">
    <x:tableColumn id="1" name="family_id"/>
    <x:tableColumn id="2" name="家族狀態"/>
    <x:tableColumn id="3" name="所屬類別"/>
    <x:tableColumn id="4" name="情境說明"/>
    <x:tableColumn id="5" name="可變化的對話要素"/>
    <x:tableColumn id="6" name="納入與排除界線"/>
    <x:tableColumn id="7" name="易混淆類別"/>
    <x:tableColumn id="8" name="與既有家族的差異"/>
    <x:tableColumn id="9" name="人工決定"/>
    <x:tableColumn id="10" name="修改意見"/>
  </x:tableColumns>
  <x:tableStyleInfo name="TableStyleMedium2" showFirstColumn="0" showLastColumn="0" showRowStripes="1" showColumnStripes="0"/>
</x:table>
</file>

<file path=xl/tables/table3.xml><?xml version="1.0" encoding="utf-8"?>
<x:table xmlns:x="http://schemas.openxmlformats.org/spreadsheetml/2006/main" id="3" name="ReviewGuideTable" displayName="ReviewGuideTable" ref="A1:B17" headerRowCount="1" totalsRowCount="0" totalsRowShown="0">
  <x:tableColumns count="2">
    <x:tableColumn id="1" name="檢查項目"/>
    <x:tableColumn id="2" name="複核方式"/>
  </x:tableColumns>
  <x:tableStyleInfo name="TableStyleMedium2" showFirstColumn="0" showLastColumn="0" showRowStripes="1" showColumnStripes="0"/>
</x:table>
</file>

<file path=xl/tables/table4.xml><?xml version="1.0" encoding="utf-8"?>
<x:table xmlns:x="http://schemas.openxmlformats.org/spreadsheetml/2006/main" id="4" name="SplitBySplitTable" displayName="SplitBySplitTable" ref="A1:G7" headerRowCount="1" totalsRowCount="0" totalsRowShown="0">
  <x:tableColumns count="7">
    <x:tableColumn id="1" name="方案"/>
    <x:tableColumn id="2" name="split"/>
    <x:tableColumn id="3" name="每類預計筆數"/>
    <x:tableColumn id="4" name="全體預計筆數"/>
    <x:tableColumn id="5" name="每類家族數"/>
    <x:tableColumn id="6" name="全體家族數"/>
    <x:tableColumn id="7" name="每家族筆數範圍"/>
  </x:tableColumns>
  <x:tableStyleInfo name="TableStyleMedium2" showFirstColumn="0" showLastColumn="0" showRowStripes="1" showColumnStripes="0"/>
</x:table>
</file>

<file path=xl/tables/table5.xml><?xml version="1.0" encoding="utf-8"?>
<x:table xmlns:x="http://schemas.openxmlformats.org/spreadsheetml/2006/main" id="5" name="SplitSchemeTradeoffsTable" displayName="SplitSchemeTradeoffsTable" ref="A10:C12" headerRowCount="1" totalsRowCount="0" totalsRowShown="0">
  <x:tableColumns count="3">
    <x:tableColumn id="1" name="方案"/>
    <x:tableColumn id="2" name="優點"/>
    <x:tableColumn id="3" name="限制與注意事項"/>
  </x:tableColumns>
  <x:tableStyleInfo name="TableStyleMedium2" showFirstColumn="0" showLastColumn="0" showRowStripes="1" showColumnStripes="0"/>
</x:table>
</file>

<file path=xl/tables/table6.xml><?xml version="1.0" encoding="utf-8"?>
<x:table xmlns:x="http://schemas.openxmlformats.org/spreadsheetml/2006/main" id="6" name="SplitComparisonNotesTable" displayName="SplitComparisonNotesTable" ref="A15:B18" headerRowCount="1" totalsRowCount="0" totalsRowShown="0">
  <x:tableColumns count="2">
    <x:tableColumn id="1" name="說明項目"/>
    <x:tableColumn id="2" name="內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aba1c930e6f449f" /></Relationships>
</file>

<file path=xl/worksheets/_rels/sheet2.xml.rels>&#65279;<?xml version="1.0" encoding="utf-8"?><Relationships xmlns="http://schemas.openxmlformats.org/package/2006/relationships"><Relationship Type="http://schemas.openxmlformats.org/officeDocument/2006/relationships/table" Target="/xl/tables/table2.xml" Id="R2386ff1d7cd141ba" /></Relationships>
</file>

<file path=xl/worksheets/_rels/sheet3.xml.rels>&#65279;<?xml version="1.0" encoding="utf-8"?><Relationships xmlns="http://schemas.openxmlformats.org/package/2006/relationships"><Relationship Type="http://schemas.openxmlformats.org/officeDocument/2006/relationships/table" Target="/xl/tables/table3.xml" Id="Rce4dfb1a11e74f71" /></Relationships>
</file>

<file path=xl/worksheets/_rels/sheet4.xml.rels>&#65279;<?xml version="1.0" encoding="utf-8"?><Relationships xmlns="http://schemas.openxmlformats.org/package/2006/relationships"><Relationship Type="http://schemas.openxmlformats.org/officeDocument/2006/relationships/table" Target="/xl/tables/table4.xml" Id="Rcf3aabd41252496f" /><Relationship Type="http://schemas.openxmlformats.org/officeDocument/2006/relationships/table" Target="/xl/tables/table5.xml" Id="R976f193b30a84144" /><Relationship Type="http://schemas.openxmlformats.org/officeDocument/2006/relationships/table" Target="/xl/tables/table6.xml" Id="R559eba34934c4c95"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5" hidden="0" customWidth="1"/>
    <x:col min="2" max="2" width="44" hidden="0" customWidth="1"/>
    <x:col min="3" max="3" width="40" hidden="0" customWidth="1"/>
    <x:col min="4" max="4" width="112" hidden="0" customWidth="1"/>
    <x:col min="5" max="5" width="20" hidden="0" customWidth="1"/>
    <x:col min="6" max="6" width="24" hidden="0" customWidth="1"/>
    <x:col min="7" max="7" width="18" hidden="0" customWidth="1"/>
    <x:col min="8" max="8" width="22" hidden="0" customWidth="1"/>
    <x:col min="9" max="9" width="22" hidden="0" customWidth="1"/>
    <x:col min="10" max="10" width="20" hidden="0" customWidth="1"/>
    <x:col min="11" max="11" width="27" hidden="0" customWidth="1"/>
    <x:col min="12" max="12" width="17" hidden="0" customWidth="1"/>
    <x:col min="13" max="13" width="50" hidden="0" customWidth="1"/>
    <x:col min="14" max="14" width="16" hidden="0" customWidth="1"/>
    <x:col min="15" max="15" width="74" hidden="0" customWidth="1"/>
    <x:col min="16" max="16" width="18" hidden="0" customWidth="1"/>
    <x:col min="17" max="17" width="12" hidden="0" customWidth="1"/>
  </x:cols>
  <x:sheetData>
    <x:row r="1" ht="36" customHeight="1">
      <x:c r="A1" s="6" t="str">
        <x:v>id</x:v>
      </x:c>
      <x:c r="B1" s="6" t="str">
        <x:v>label_name</x:v>
      </x:c>
      <x:c r="C1" s="6" t="str">
        <x:v>scenario_family_id</x:v>
      </x:c>
      <x:c r="D1" s="6" t="str">
        <x:v>逐字稿</x:v>
      </x:c>
      <x:c r="E1" s="6" t="str">
        <x:v>分類是否合適</x:v>
      </x:c>
      <x:c r="F1" s="6" t="str">
        <x:v>是否只有一個主要問題</x:v>
      </x:c>
      <x:c r="G1" s="6" t="str">
        <x:v>對話是否連貫</x:v>
      </x:c>
      <x:c r="H1" s="6" t="str">
        <x:v>臺灣口語自然度</x:v>
      </x:c>
      <x:c r="I1" s="6" t="str">
        <x:v>位置描述是否清楚</x:v>
      </x:c>
      <x:c r="J1" s="6" t="str">
        <x:v>是否有個資風險</x:v>
      </x:c>
      <x:c r="K1" s="6" t="str">
        <x:v>是否與其他紀錄過度相似</x:v>
      </x:c>
      <x:c r="L1" s="6" t="str">
        <x:v>人工決定</x:v>
      </x:c>
      <x:c r="M1" s="6" t="str">
        <x:v>修改意見</x:v>
      </x:c>
      <x:c r="N1" s="20" t="str">
        <x:v>AI 建議</x:v>
      </x:c>
      <x:c r="O1" s="20" t="str">
        <x:v>AI 理由</x:v>
      </x:c>
      <x:c r="P1" s="20" t="str">
        <x:v>需人工特別確認</x:v>
      </x:c>
      <x:c r="Q1" s="20" t="str">
        <x:v>信心</x:v>
      </x:c>
    </x:row>
    <x:row r="2" ht="192" customHeight="1">
      <x:c r="A2" s="8" t="str">
        <x:v>TPE1999-V12-001</x:v>
      </x:c>
      <x:c r="B2" s="8" t="str">
        <x:v>人行道維護</x:v>
      </x:c>
      <x:c r="C2" s="8" t="str">
        <x:v>FAM-SW-TILE-MOVEMENT</x:v>
      </x:c>
      <x:c r="D2" s="8" t="str">
        <x:v>R:您好，我是臺北市1999客服，請問您想反映什麼情況？
L:中山區一處住宅巷口的行人地磚最近踩下去會晃，昨晚差點被翹起的角絆到；位置在公車站牌後方，不是站牌前面。
R:經過的人會不會直接踩到？您注意到它變鬆多久了？
L:大約這兩天，雨停後更明顯。白天有人靠牆繞，晚上那裡光線暗，拖行李或推車時輪子容易碰到邊角。
R:鬆動範圍是一片還是連著幾片？有沒有碎裂或缺角？
L:中間一片踩下去會沉，旁邊兩片也跟著晃；目前沒有碎片掉出來，外側那片翹得最高。
R:您說在巷口轉入後的哪一側？
L:從大路轉進巷子後靠右手邊，與站牌後方相對；附近其他地磚目前平穩。
R:這幾片靠近通行面中間還是貼著路緣？
L:靠近通行面外側，不在路緣上；若從巷口走進去，先遇到站牌後方，再往前就是鬆動處。
R:了解，我記下巷口站牌後方、右側連續三片踩踏會晃及外側翹起的狀況，謝謝您補充位置。</x:v>
      </x:c>
      <x:c r="E2" s="9" t="str"/>
      <x:c r="F2" s="9" t="str"/>
      <x:c r="G2" s="9" t="str"/>
      <x:c r="H2" s="9" t="str"/>
      <x:c r="I2" s="9" t="str"/>
      <x:c r="J2" s="9" t="str"/>
      <x:c r="K2" s="9" t="str"/>
      <x:c r="L2" s="9" t="str">
        <x:v>pending</x:v>
      </x:c>
      <x:c r="M2" s="9" t="str"/>
      <x:c r="N2" s="24" t="str">
        <x:v>pass</x:v>
      </x:c>
      <x:c r="O2" s="24" t="str">
        <x:v>三片行人地磚踩踏晃動並有翹角，與鋪面磚家族相符；推車通行影響仍屬同一問題。相對方位足以理解。  格式檢視：11 行、309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 s="24" t="str">
        <x:v>否</x:v>
      </x:c>
      <x:c r="Q2" s="24" t="str">
        <x:v>高</x:v>
      </x:c>
    </x:row>
    <x:row r="3" ht="177" customHeight="1">
      <x:c r="A3" s="8" t="str">
        <x:v>TPE1999-V12-002</x:v>
      </x:c>
      <x:c r="B3" s="8" t="str">
        <x:v>人行道維護</x:v>
      </x:c>
      <x:c r="C3" s="8" t="str">
        <x:v>FAM-SW-TILE-MOVEMENT</x:v>
      </x:c>
      <x:c r="D3" s="8" t="str">
        <x:v>R:您好，請您先說說遇到什麼需要協助的事？
L:內湖區市場外圍有幾片行人石磚裂開，裂縫旁的角翹起來，推菜籃車經過會卡一下，最近幾天看起來比上週明顯。
R:今天還看得到碎片嗎？推車通常卡在裂縫的哪裡？
L:大部分石磚還在原位，轉角內側有一小片薄屑留在旁邊，沒有跑到車道；多半是外側翹角勾到前輪。
R:市場周邊人多時，行人能從旁邊通過嗎？
L:早上買菜的人多，有人直接跨過去，推車得慢下來，先退一點再抬前輪。旁邊靠建物那段是平的，沒有同樣裂損。
R:這處大約在市場哪個範圍？
L:靠外圍一處巷口轉角、通行鋪面的外側；不是市場內部，碎屑就在轉角內邊，今天經過仍在。
R:雨天會不會讓裂縫更難辨認？
L:會，水停在細縫裡時顏色接近石磚，推車前輪碰到才知道有高低，晴天也還是會卡。
R:我把市場外圍轉角的裂磚、翹角和少量碎屑位置一併寫明，方便後續查看，謝謝來電。</x:v>
      </x:c>
      <x:c r="E3" s="9" t="str"/>
      <x:c r="F3" s="9" t="str"/>
      <x:c r="G3" s="9" t="str"/>
      <x:c r="H3" s="9" t="str"/>
      <x:c r="I3" s="9" t="str"/>
      <x:c r="J3" s="9" t="str"/>
      <x:c r="K3" s="9" t="str"/>
      <x:c r="L3" s="9" t="str">
        <x:v>pending</x:v>
      </x:c>
      <x:c r="M3" s="9" t="str"/>
      <x:c r="N3" s="24" t="str">
        <x:v>pass</x:v>
      </x:c>
      <x:c r="O3" s="24" t="str">
        <x:v>裂磚翹角造成推車前輪卡住，符合鋪面磚破損；碎屑與雨天辨識是同一缺陷的補充，無第二主訴。  格式檢視：11 行、309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 s="24" t="str">
        <x:v>否</x:v>
      </x:c>
      <x:c r="Q3" s="24" t="str">
        <x:v>高</x:v>
      </x:c>
    </x:row>
    <x:row r="4" ht="192" customHeight="1">
      <x:c r="A4" s="8" t="str">
        <x:v>TPE1999-V12-003</x:v>
      </x:c>
      <x:c r="B4" s="8" t="str">
        <x:v>人行道維護</x:v>
      </x:c>
      <x:c r="C4" s="8" t="str">
        <x:v>FAM-SW-TACTILE-PAVING</x:v>
      </x:c>
      <x:c r="D4" s="8" t="str">
        <x:v>R:您好，這裡是1999客服。您先描述一下看到的情況，我來協助記錄。
L:松山區一處主要道路轉角附近，導引磚中間缺了一段，從側邊走來會突然接不上；視線不方便的人可能不容易判斷方向。
R:缺口前後還看得出導引磚原本的排列嗎？大概中斷多長？
L:有，前一段是直條紋，接到方形磚後變成普通地磚，約兩三步長；轉角另一側還有接續的導引磚。
R:您平常會經過那裡嗎？現在通行時怎麼找回方向？
L:這一週上班天天經過，以前沒留意到中斷。現在只能沿著牆走到轉角另一邊再找回來，雨天更難辨認。
R:是在轉彎之前就中斷，還是過了轉角才看不到？
L:面向主要道路時右側轉角前就斷了，直行那一段仍完整，缺口兩端的位置很清楚。
R:您觀察到兩端的導引排列都還完整嗎？
L:兩端都看得到原本的直條紋，只是中間突然接成一般鋪面；沒有被箱子或其他物品遮住。
R:收到，我會記錄右側轉角前導引排列中斷、約兩三步及雨天辨向受影響的情形。</x:v>
      </x:c>
      <x:c r="E4" s="9" t="str"/>
      <x:c r="F4" s="9" t="str"/>
      <x:c r="G4" s="9" t="str"/>
      <x:c r="H4" s="9" t="str"/>
      <x:c r="I4" s="9" t="str"/>
      <x:c r="J4" s="9" t="str"/>
      <x:c r="K4" s="9" t="str"/>
      <x:c r="L4" s="9" t="str">
        <x:v>pending</x:v>
      </x:c>
      <x:c r="M4" s="9" t="str"/>
      <x:c r="N4" s="24" t="str">
        <x:v>pass</x:v>
      </x:c>
      <x:c r="O4" s="24" t="str">
        <x:v>導引磚路徑中斷且無外物遮擋，符合導盲磚缺段；來電者沒有要求查詢其他服務。  格式檢視：11 行、331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 s="24" t="str">
        <x:v>否</x:v>
      </x:c>
      <x:c r="Q4" s="24" t="str">
        <x:v>高</x:v>
      </x:c>
    </x:row>
    <x:row r="5" ht="207" customHeight="1">
      <x:c r="A5" s="8" t="str">
        <x:v>TPE1999-V12-004</x:v>
      </x:c>
      <x:c r="B5" s="8" t="str">
        <x:v>人行道維護</x:v>
      </x:c>
      <x:c r="C5" s="8" t="str">
        <x:v>FAM-SW-TACTILE-PAVING</x:v>
      </x:c>
      <x:c r="D5" s="8" t="str">
        <x:v>R:您好，請問您方便說明一下要反映的事情嗎？
L:北投區住宅商業區交界的一處人行轉角，提醒用的凸點磚裂成兩半，外側裂片翹起來，走過會勾鞋底，輪椅小輪也可能卡住。
R:是踩踏時會晃，還是主要有突起的裂角？
L:主要是裂片一半高出旁邊，沒有整塊晃動；旁邊的凸點磚看起來完整，地上也沒看到碎片掉落。
R:最近有變化嗎？行人走到那裡會停下或改道嗎？
L:前兩天下雨後才注意到，今天裂口更顯眼。有位長者先停下看腳邊，我自己也放慢才跨過去，晚上顏色暗時更難看清。
R:您說的位置靠哪個公共區域？裂片在轉角的內側或外側？
L:靠一處公車停靠區旁的轉角外緣，往巷子方向走會先遇到；其他方向鋪面沒有看到問題。
R:裂片尖角在行走時容易被碰到嗎？
L:靠外側那半稍微翹高，鞋底擦過會勾一下；沒有散落到旁邊，也不是整個轉角都破損。
R:我會把凸點磚裂損、外側翹起及轉角方位記下，謝謝您說明得這麼清楚。</x:v>
      </x:c>
      <x:c r="E5" s="9" t="str"/>
      <x:c r="F5" s="9" t="str"/>
      <x:c r="G5" s="9" t="str"/>
      <x:c r="H5" s="9" t="str"/>
      <x:c r="I5" s="9" t="str"/>
      <x:c r="J5" s="9" t="str"/>
      <x:c r="K5" s="9" t="str"/>
      <x:c r="L5" s="9" t="str">
        <x:v>pending</x:v>
      </x:c>
      <x:c r="M5" s="9" t="str"/>
      <x:c r="N5" s="24" t="str">
        <x:v>pass</x:v>
      </x:c>
      <x:c r="O5" s="24" t="str">
        <x:v>凸點磚裂片翹起，符合導盲磚本體破損；與一般地磚沉陷可區分，客服沒有提供處置承諾。  格式檢視：11 行、324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5" s="24" t="str">
        <x:v>否</x:v>
      </x:c>
      <x:c r="Q5" s="24" t="str">
        <x:v>高</x:v>
      </x:c>
    </x:row>
    <x:row r="6" ht="177" customHeight="1">
      <x:c r="A6" s="8" t="str">
        <x:v>TPE1999-V12-005</x:v>
      </x:c>
      <x:c r="B6" s="8" t="str">
        <x:v>人行道維護</x:v>
      </x:c>
      <x:c r="C6" s="8" t="str">
        <x:v>FAM-SW-RAMP-SURFACE</x:v>
      </x:c>
      <x:c r="D6" s="8" t="str">
        <x:v>R:您好，請問今天有什麼情況想請我們協助記錄？
L:萬華區一座公園外連接人行道的緩坡有裂縫，嬰兒車小輪推過去會卡住，輪子偏一下就得停下來重新推。
R:您最近才發現嗎？平常推車要怎麼通過那道裂縫？
L:上個月還沒這麼明顯，這幾天前輪會停住，我得往後拉再抬一下；自己推車時不好控制，雨天也不容易看出深淺。
R:裂縫是在坡面哪個位置，旁邊有沒有另一處凸起？
L:在坡面中間偏下，斜著延伸約半個坡面，寬度大概一指，主要就這一道；接到平地的位置沒有裂開。
R:公園哪一側的出入口外面？
L:靠主要出入口一側，從園內往外走時在坡面左邊；坡頂平整，問題不是入口旁的平地。
R:平常是從園內往外推車時最容易遇到嗎？
L:是，往外推時小輪會卡在斜裂縫，往回走也得抬一下；旁邊沒有第二道裂痕。
R:好，我會按公園外緩坡中段的斜裂縫及推車前輪卡住來描述，謝謝您提醒。</x:v>
      </x:c>
      <x:c r="E6" s="9" t="str"/>
      <x:c r="F6" s="9" t="str"/>
      <x:c r="G6" s="9" t="str"/>
      <x:c r="H6" s="9" t="str"/>
      <x:c r="I6" s="9" t="str"/>
      <x:c r="J6" s="9" t="str"/>
      <x:c r="K6" s="9" t="str"/>
      <x:c r="L6" s="9" t="str">
        <x:v>pending</x:v>
      </x:c>
      <x:c r="M6" s="9" t="str"/>
      <x:c r="N6" s="24" t="str">
        <x:v>pass</x:v>
      </x:c>
      <x:c r="O6" s="24" t="str">
        <x:v>人行坡道斜裂縫卡住嬰兒車小輪，與坡道表面裂損家族一致；描述集中於同一坡面問題。  格式檢視：11 行、308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6" s="24" t="str">
        <x:v>否</x:v>
      </x:c>
      <x:c r="Q6" s="24" t="str">
        <x:v>高</x:v>
      </x:c>
    </x:row>
    <x:row r="7" ht="192" customHeight="1">
      <x:c r="A7" s="8" t="str">
        <x:v>TPE1999-V12-006</x:v>
      </x:c>
      <x:c r="B7" s="8" t="str">
        <x:v>人行道維護</x:v>
      </x:c>
      <x:c r="C7" s="8" t="str">
        <x:v>FAM-SW-RAMP-SURFACE</x:v>
      </x:c>
      <x:c r="D7" s="8" t="str">
        <x:v>R:您好，這裡是1999。您想先說明一下遇到的狀況嗎？
L:大同區一處路口附近的人行坡道磨得很滑，雨停後走上去鞋底會打滑；原本粗糙的止滑紋已經磨平，不是有東西擋住。
R:上坡和下坡哪個方向感覺比較明顯？
L:從平地往上走時容易滑，下坡也得放慢。早上有人牽菜車經過，我自己扶著旁邊欄杆才安心，沒看到有人跌倒。
R:磨平的範圍大約多大？地乾後還看得出來嗎？
L:中間約兩三步寬，昨天下午下雨後最滑；今天地乾了，那一塊仍發亮，兩側的紋路比中間深。
R:坡道是在什麼公共空間旁？只有一側磨耗嗎？
L:靠近一處公共建物外側的轉角，面向建物時右邊那條坡比較平滑，左側還有紋路，坡頂接人行面是平的。
R:下雨後您有看到表面積水或其他障礙嗎？
L:沒有積水，也沒有雜物；主要是止滑紋磨平發亮，鞋底踩上去會滑，天氣乾了仍看得出來。
R:收到，我會說明右側坡面止滑紋磨耗、雨後打滑及周邊仍有紋路的差異。</x:v>
      </x:c>
      <x:c r="E7" s="9" t="str"/>
      <x:c r="F7" s="9" t="str"/>
      <x:c r="G7" s="9" t="str"/>
      <x:c r="H7" s="9" t="str"/>
      <x:c r="I7" s="9" t="str"/>
      <x:c r="J7" s="9" t="str"/>
      <x:c r="K7" s="9" t="str"/>
      <x:c r="L7" s="9" t="str">
        <x:v>pending</x:v>
      </x:c>
      <x:c r="M7" s="9" t="str"/>
      <x:c r="N7" s="24" t="str">
        <x:v>pass</x:v>
      </x:c>
      <x:c r="O7" s="24" t="str">
        <x:v>坡面止滑紋磨平造成雨後打滑，符合坡道表面磨耗；未把外來液體或障礙物混成另一主訴。  格式檢視：11 行、320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7" s="24" t="str">
        <x:v>否</x:v>
      </x:c>
      <x:c r="Q7" s="24" t="str">
        <x:v>高</x:v>
      </x:c>
    </x:row>
    <x:row r="8" ht="192" customHeight="1">
      <x:c r="A8" s="8" t="str">
        <x:v>TPE1999-V12-007</x:v>
      </x:c>
      <x:c r="B8" s="8" t="str">
        <x:v>人行道維護</x:v>
      </x:c>
      <x:c r="C8" s="8" t="str">
        <x:v>FAM-SW-LEVEL-SETTLEMENT</x:v>
      </x:c>
      <x:c r="D8" s="8" t="str">
        <x:v>R:您好，您可以先說說發生了什麼事嗎？
L:內湖區一座公園外圍的人行通行面有幾片往下沉，雨水積在凹處，行人容易踩到；水退了之後，高低差還是看得見。
R:這幾片目前有裂開或鬆動嗎？積水大約多久才退？
L:沒有看到裂開，約四五片連在一起。昨晚雨停後早上還有淺水，日照後慢慢乾掉；踩上去仍覺得那幾片低一截。
R:行人能否從旁邊繞過，還是會不小心踩進去？
L:水色和地磚接近，早上有人踩到才發現鞋濕。推菜車的人走外側，但那邊比較窄，遇到迎面行人就要互相讓。
R:大約在公園哪一側？
L:靠近外圍出入口轉角前，挨著通行面和周邊建物交界；不是入口階梯旁，今天中午水已經乾了。
R:積水退掉後，低陷的範圍還能辨認嗎？
L:看得出來，幾片磚的接縫仍比兩側低，水乾後也沒有恢復平整，旁邊沒有別處積水。
R:我會記下公園外圍轉角前連續鋪面沉陷、雨後積水及乾後仍有落差的情況。</x:v>
      </x:c>
      <x:c r="E8" s="9" t="str"/>
      <x:c r="F8" s="9" t="str"/>
      <x:c r="G8" s="9" t="str"/>
      <x:c r="H8" s="9" t="str"/>
      <x:c r="I8" s="9" t="str"/>
      <x:c r="J8" s="9" t="str"/>
      <x:c r="K8" s="9" t="str"/>
      <x:c r="L8" s="9" t="str">
        <x:v>pending</x:v>
      </x:c>
      <x:c r="M8" s="9" t="str"/>
      <x:c r="N8" s="24" t="str">
        <x:v>pass</x:v>
      </x:c>
      <x:c r="O8" s="24" t="str">
        <x:v>人行鋪面沉陷造成雨後積水，且水乾後仍有低差，前後時序一致，符合沉陷家族。  格式檢視：11 行、311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8" s="24" t="str">
        <x:v>否</x:v>
      </x:c>
      <x:c r="Q8" s="24" t="str">
        <x:v>高</x:v>
      </x:c>
    </x:row>
    <x:row r="9" ht="177" customHeight="1">
      <x:c r="A9" s="8" t="str">
        <x:v>TPE1999-V12-008</x:v>
      </x:c>
      <x:c r="B9" s="8" t="str">
        <x:v>人行道維護</x:v>
      </x:c>
      <x:c r="C9" s="8" t="str">
        <x:v>FAM-SW-LEVEL-SETTLEMENT</x:v>
      </x:c>
      <x:c r="D9" s="8" t="str">
        <x:v>R:您好，請告訴我您希望反映的情況，我協助整理。
L:南港區一處路口銜接的人行面有明顯高低差，從較高的一側走下來會有踩空感，陪長輩散步時得提醒他慢一點。
R:反方向走上來時也會不穩嗎？鋪面本身有沒有裂或晃動？
L:上來時先看得到邊界，感覺沒那麼突然；表面沒有裂也不會搖，像前後兩段沒接平，差不多一兩公分高差。
R:最近多久會經過一次？最容易感覺落差的是哪個方向？
L:這一週接送家人幾乎每天經過，從高處往下走最容易踩空，連牽著長輩時也要先提醒他注意腳下。
R:您說是在轉角還是穿越線上？
L:面向路口往前的右側轉角，行人穿越線起點前就遇到，不在線上；另一側接面看起來較平。
R:這個高度差會不會只在某一塊磚上？
L:不是單片鬆動，是兩段鋪面交接時一邊高一邊低；踩上去不會晃，往下走才特別突然。
R:明白，我會按右側轉角前的銜接落差記錄，也會說明鋪面穩定但高度不一。</x:v>
      </x:c>
      <x:c r="E9" s="9" t="str"/>
      <x:c r="F9" s="9" t="str"/>
      <x:c r="G9" s="9" t="str"/>
      <x:c r="H9" s="9" t="str"/>
      <x:c r="I9" s="9" t="str"/>
      <x:c r="J9" s="9" t="str"/>
      <x:c r="K9" s="9" t="str"/>
      <x:c r="L9" s="9" t="str">
        <x:v>pending</x:v>
      </x:c>
      <x:c r="M9" s="9" t="str"/>
      <x:c r="N9" s="24" t="str">
        <x:v>pass</x:v>
      </x:c>
      <x:c r="O9" s="24" t="str">
        <x:v>兩段人行面銜接高低差且鋪面不晃，符合沉陷／銜接落差範圍；與單片磚鬆動有區別。  格式檢視：11 行、319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9" s="24" t="str">
        <x:v>否</x:v>
      </x:c>
      <x:c r="Q9" s="24" t="str">
        <x:v>高</x:v>
      </x:c>
    </x:row>
    <x:row r="10" ht="192" customHeight="1">
      <x:c r="A10" s="8" t="str">
        <x:v>TPE1999-V12-009</x:v>
      </x:c>
      <x:c r="B10" s="8" t="str">
        <x:v>人行道維護</x:v>
      </x:c>
      <x:c r="C10" s="8" t="str">
        <x:v>FAM-SW-CURB-EDGE</x:v>
      </x:c>
      <x:c r="D10" s="8" t="str">
        <x:v>R:您好，我是1999客服。請問您要反映什麼狀況？
L:中正區一座公園入口外的人行道邊緣石裂開，碎面朝上有尖角，輪椅靠邊走時輪胎會碰到，行人也可能被勾到鞋底。
R:邊緣石有移位或整塊鬆動嗎？旁邊有碎片掉下來嗎？
L:整段還固定，沒有碎片落下；是表層裂開，靠車道那面有一個朝上的尖角，相鄰石塊目前沒有裂。
R:這幾天有變嚴重嗎？人多時會影響通行嗎？
L:前幾天只是細裂，今天缺口比較大。推輪椅的人會往裡側靠，早上人多時裡面也有人走，大家得互相讓路。
R:是在入口外往哪個方向走會遇到？
L:出入口面向外側後往左，第一個轉角前靠近人行與車道分界；不是整段路面都有問題，只有那一小段。
R:尖角大約朝向行人通過的方向嗎？
L:是，尖角朝上並略朝通行面，靠外側走容易碰到；如果走中間則不會碰到，但人多時不好避開。
R:了解，我會描述邊緣石表面裂損、尖角朝上及輪椅靠邊可能碰到的情形。</x:v>
      </x:c>
      <x:c r="E10" s="9" t="str"/>
      <x:c r="F10" s="9" t="str"/>
      <x:c r="G10" s="9" t="str"/>
      <x:c r="H10" s="9" t="str"/>
      <x:c r="I10" s="9" t="str"/>
      <x:c r="J10" s="9" t="str"/>
      <x:c r="K10" s="9" t="str"/>
      <x:c r="L10" s="9" t="str">
        <x:v>pending</x:v>
      </x:c>
      <x:c r="M10" s="9" t="str"/>
      <x:c r="N10" s="24" t="str">
        <x:v>pass</x:v>
      </x:c>
      <x:c r="O10" s="24" t="str">
        <x:v>緣石本體裂損且尖角朝向通行面，分類與主訴一致；輪椅受影響只是同一缺陷的後果。  格式檢視：11 行、316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0" s="24" t="str">
        <x:v>否</x:v>
      </x:c>
      <x:c r="Q10" s="24" t="str">
        <x:v>高</x:v>
      </x:c>
    </x:row>
    <x:row r="11" ht="177" customHeight="1">
      <x:c r="A11" s="8" t="str">
        <x:v>TPE1999-V12-010</x:v>
      </x:c>
      <x:c r="B11" s="8" t="str">
        <x:v>人行道維護</x:v>
      </x:c>
      <x:c r="C11" s="8" t="str">
        <x:v>FAM-SW-CURB-EDGE</x:v>
      </x:c>
      <x:c r="D11" s="8" t="str">
        <x:v>R:您好，這裡是臺北市1999，請您說說需要協助的事。
L:信義區一座小型公園外側轉角的緣石鬆了，踩上去會晃，靠近行人穿越處的一塊還往外移，晚上不容易看見。
R:是整塊會動，還是表面有裂紋？周邊石塊穩不穩？
L:整塊踩下去會動一點，外側比旁邊突出約一個指節高；相鄰幾塊還穩，沒有看到碎片掉落。
R:大約什麼時候發現？推車或行人經過會受到影響嗎？
L:上個週末第一次注意，昨天再看似乎更斜。推車輪子碰上會偏一下，我已提醒同行的人先別踩最外緣。
R:您能描述它相對於公園入口或穿越處的位置嗎？
L:在面向公園時右側轉角、接近穿越處之前，顏色比旁邊淺一些；主要是鬆動外移，不是裂紋明顯。
R:您提到的突出位置現在還看得見嗎？
L:看得見，外側淺色石塊比旁邊高一點；傍晚光線較暗時不明顯，白天踩上去才會發現它會動。
R:我會把右側轉角、淺色緣石踩踏會晃且略突出記清楚，謝謝您提供線索。</x:v>
      </x:c>
      <x:c r="E11" s="9" t="str"/>
      <x:c r="F11" s="9" t="str"/>
      <x:c r="G11" s="9" t="str"/>
      <x:c r="H11" s="9" t="str"/>
      <x:c r="I11" s="9" t="str"/>
      <x:c r="J11" s="9" t="str"/>
      <x:c r="K11" s="9" t="str"/>
      <x:c r="L11" s="9" t="str">
        <x:v>pending</x:v>
      </x:c>
      <x:c r="M11" s="9" t="str"/>
      <x:c r="N11" s="24" t="str">
        <x:v>pass</x:v>
      </x:c>
      <x:c r="O11" s="24" t="str">
        <x:v>緣石鬆動外移而非表面裂紋，符合緣石家族；方位清楚但仍是概略公共空間描述。  格式檢視：11 行、318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1" s="24" t="str">
        <x:v>否</x:v>
      </x:c>
      <x:c r="Q11" s="24" t="str">
        <x:v>高</x:v>
      </x:c>
    </x:row>
    <x:row r="12" ht="207" customHeight="1">
      <x:c r="A12" s="8" t="str">
        <x:v>TPE1999-V12-011</x:v>
      </x:c>
      <x:c r="B12" s="8" t="str">
        <x:v>道路凹陷、不平、有高低差</x:v>
      </x:c>
      <x:c r="C12" s="8" t="str">
        <x:v>FAM-ROAD-INTERSECTION-DENT</x:v>
      </x:c>
      <x:c r="D12" s="8" t="str">
        <x:v>R:您好，這裡是1999客服，您遇到什麼狀況？
L:中山區住宅巷口附近的外側車道有個凹洞，汽車壓過會砰一聲，騎機車經過也會突然晃一下，雨後有時積水。
R:凹洞是在轉彎前還是過了巷口？附近車流需要閃避嗎？
L:在巷口前方靠右車道的轉角內側，車多時不好繞，機車會往左偏，後方車輛有時跟著減速。
R:凹處範圍和周圍表面看起來如何？
L:大概一個腳踏車輪寬，周邊有細碎裂紋，中心比旁邊低，沒有大塊石頭掉出來。
R:您最近一次看到是什麼時候？
L:至少一週了，今天早上水退後仍看得出外圈破損，位置沒有改變；乾天也會有車輪撞擊聲。
R:是在車行道內側或人行道邊？
L:是靠路邊的車道，不在行人鋪面上；凹洞靠轉角內側，沒有延伸到路口中央。
R:有沒有車輛需要急煞或駛到對向？
L:我沒看到急煞或對向車，但尖峰車多時不方便閃；水退之後裂紋和凹陷仍清楚。
R:我會按車道位置、凹陷和雨後積水的狀況整理，感謝您提供觀察。</x:v>
      </x:c>
      <x:c r="E12" s="9" t="str"/>
      <x:c r="F12" s="9" t="str"/>
      <x:c r="G12" s="9" t="str"/>
      <x:c r="H12" s="9" t="str"/>
      <x:c r="I12" s="9" t="str"/>
      <x:c r="J12" s="9" t="str"/>
      <x:c r="K12" s="9" t="str"/>
      <x:c r="L12" s="9" t="str">
        <x:v>pending</x:v>
      </x:c>
      <x:c r="M12" s="9" t="str"/>
      <x:c r="N12" s="24" t="str">
        <x:v>pass</x:v>
      </x:c>
      <x:c r="O12" s="24" t="str">
        <x:v>車行道轉角局部凹陷、雨後積水，符合路口局部凹陷；未混入人行道或孔蓋問題。  格式檢視：13 行、323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2" s="24" t="str">
        <x:v>否</x:v>
      </x:c>
      <x:c r="Q12" s="24" t="str">
        <x:v>高</x:v>
      </x:c>
    </x:row>
    <x:row r="13" ht="207" customHeight="1">
      <x:c r="A13" s="8" t="str">
        <x:v>TPE1999-V12-012</x:v>
      </x:c>
      <x:c r="B13" s="8" t="str">
        <x:v>道路凹陷、不平、有高低差</x:v>
      </x:c>
      <x:c r="C13" s="8" t="str">
        <x:v>FAM-ROAD-INTERSECTION-DENT</x:v>
      </x:c>
      <x:c r="D13" s="8" t="str">
        <x:v>R:您好，請先告訴我您想反映什麼事情。
L:松山區一處路口的右轉車道有淺坑，公車和小客車經過都會顛一下；下雨時水蓋住坑面，不太容易發現。
R:其他車道也有同樣的凹處嗎？
L:目前只在準備右轉的外側車道，直行道看起來平整；位置在行人穿越線前，不在線上。
R:表面乾燥時還看得出高低嗎？邊緣有沒有碎裂？
L:有一圈碎紋，約兩個手掌大，今天中午路乾了仍比旁邊低，沒有看到其他坑洞。
R:您什麼時候開始留意到？車輛會怎麼避開？
L:大約三天前，機車會從左側繞，有時和直行車靠得很近；公車不容易閃，只能直接壓過去。
R:您說的位置離穿越線大約多遠？
L:就在路口轉角前一小段，離停止線還有距離，不是在路口中央；雨水退後坑邊仍清楚。
R:坑面積水退去後，邊緣還看得出來嗎？
L:看得出，中心仍低於周邊，水退後也沒有變平；只有右轉車道那一處比較明顯。
R:收到，我會記錄右轉車道穿越線前的淺坑和車輛通行時的顛簸。</x:v>
      </x:c>
      <x:c r="E13" s="9" t="str"/>
      <x:c r="F13" s="9" t="str"/>
      <x:c r="G13" s="9" t="str"/>
      <x:c r="H13" s="9" t="str"/>
      <x:c r="I13" s="9" t="str"/>
      <x:c r="J13" s="9" t="str"/>
      <x:c r="K13" s="9" t="str"/>
      <x:c r="L13" s="9" t="str">
        <x:v>pending</x:v>
      </x:c>
      <x:c r="M13" s="9" t="str"/>
      <x:c r="N13" s="24" t="str">
        <x:v>pass</x:v>
      </x:c>
      <x:c r="O13" s="24" t="str">
        <x:v>右轉車道局部淺坑，水退後仍可辨識，符合路口凹陷；車輛顛簸與避讓均圍繞同一坑面。  格式檢視：13 行、324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3" s="24" t="str">
        <x:v>否</x:v>
      </x:c>
      <x:c r="Q13" s="24" t="str">
        <x:v>高</x:v>
      </x:c>
    </x:row>
    <x:row r="14" ht="177" customHeight="1">
      <x:c r="A14" s="8" t="str">
        <x:v>TPE1999-V12-013</x:v>
      </x:c>
      <x:c r="B14" s="8" t="str">
        <x:v>道路凹陷、不平、有高低差</x:v>
      </x:c>
      <x:c r="C14" s="8" t="str">
        <x:v>FAM-ROAD-WHEEL-TRACK</x:v>
      </x:c>
      <x:c r="D14" s="8" t="str">
        <x:v>R:您好，這裡是臺北市1999。請問您觀察到什麼狀況？
L:大同區一段高架道路下方的慢車道有長條下陷，騎腳踏車時車輪像被帶進槽裡，載貨機車經過也會晃。
R:凹槽沿著車行方向延伸嗎？最深的位置在哪一段？
L:是，沿著常走的輪跡往前伸，在一根高架支柱附近最明顯，再往前逐漸變淺；不是整條車道都凹。
R:路面有沒有鬆脫或碎片？雨天會怎樣？
L:約一個鞋底寬，旁邊有細裂紋，沒有整片掀起。下雨後車輪帶水會濺向旁邊，槽線反而比較難看清。
R:您注意到多久了？騎車時需要改變方向嗎？
L:近兩週越來越明顯，單車會順著凹槽走一小段才出來；機車突然修方向時，後方車流也得跟著留意。
R:位置是在慢車道還是旁邊的快車道？
L:靠路邊的慢車道，最深處在支柱前，旁邊快車道沒有這個狀況，凹槽中間有一小段較不明顯。
R:我會把長條輪跡下陷及最深位置的相對位置寫清楚，謝謝來電。</x:v>
      </x:c>
      <x:c r="E14" s="9" t="str"/>
      <x:c r="F14" s="9" t="str"/>
      <x:c r="G14" s="9" t="str"/>
      <x:c r="H14" s="9" t="str"/>
      <x:c r="I14" s="9" t="str"/>
      <x:c r="J14" s="9" t="str"/>
      <x:c r="K14" s="9" t="str"/>
      <x:c r="L14" s="9" t="str">
        <x:v>pending</x:v>
      </x:c>
      <x:c r="M14" s="9" t="str"/>
      <x:c r="N14" s="24" t="str">
        <x:v>pass</x:v>
      </x:c>
      <x:c r="O14" s="24" t="str">
        <x:v>慢車道縱向輪跡槽符合輪跡凹陷家族，無第二案件；支柱與車道等相對位置略細，仍未出現具名地點或地址。 特別確認：高架支柱、慢車道及凹槽深點等相對錨點較多，請人工確認是否可再概略化。 格式檢視：11 行、307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4" s="24" t="str">
        <x:v>是</x:v>
      </x:c>
      <x:c r="Q14" s="24" t="str">
        <x:v>中</x:v>
      </x:c>
    </x:row>
    <x:row r="15" ht="207" customHeight="1">
      <x:c r="A15" s="8" t="str">
        <x:v>TPE1999-V12-014</x:v>
      </x:c>
      <x:c r="B15" s="8" t="str">
        <x:v>道路凹陷、不平、有高低差</x:v>
      </x:c>
      <x:c r="C15" s="8" t="str">
        <x:v>FAM-ROAD-WHEEL-TRACK</x:v>
      </x:c>
      <x:c r="D15" s="8" t="str">
        <x:v>R:您好，請您先描述要反映的情況。
L:內湖區一處地下道出口附近，車行道有縱向輪跡凹陷，公車通過時車身會左右晃，乘客也會跟著偏一下。
R:這條凹痕是在出口後哪一個車道？是否一路連續？
L:出地下道後的外側車道，沿著車輪常走的位置延伸，接近前方停靠區前；中間有兩段更深，整體仍連在一起。
R:路面乾燥時能辨認出輪跡嗎？
L:看得到暗色磨痕和細裂，沒有碎塊；雨天更難看深淺，車輪經過時方向盤也會被帶向凹處。
R:只有公車受影響，還是其他車種也會感覺到？
L:我早上搭車、晚上開車都會經過，公車晃得明顯，小客車也會有一下偏移，尤其是貼外側走的時候。
R:它有延伸到停靠區或中央車道嗎？
L:沒有到站牌平台，出口到停靠點前那段較明顯，靠中央的車道相對平整。
R:您覺得是凹槽變深，還是車流量增加才更明顯？
L:看起來凹槽比前幾週深，車流量沒有明顯改變；我沒有量尺寸，主要是多次經過都感到車身偏移。
R:我會依出口後外側車道的連續輪跡凹陷和通行反應記錄。</x:v>
      </x:c>
      <x:c r="E15" s="9" t="str"/>
      <x:c r="F15" s="9" t="str"/>
      <x:c r="G15" s="9" t="str"/>
      <x:c r="H15" s="9" t="str"/>
      <x:c r="I15" s="9" t="str"/>
      <x:c r="J15" s="9" t="str"/>
      <x:c r="K15" s="9" t="str"/>
      <x:c r="L15" s="9" t="str">
        <x:v>pending</x:v>
      </x:c>
      <x:c r="M15" s="9" t="str"/>
      <x:c r="N15" s="24" t="str">
        <x:v>pass</x:v>
      </x:c>
      <x:c r="O15" s="24" t="str">
        <x:v>出口後外側車道連續輪跡下陷符合家族定義；乘車時間、停靠區與車道方位可定位相對區段，請人工確認細節是否足夠概略。 特別確認：地下道出口、外側車道及前方停靠區形成較密的位置組合，請人工確認是否足以定位到單一區段。 格式檢視：13 行、348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5" s="24" t="str">
        <x:v>是</x:v>
      </x:c>
      <x:c r="Q15" s="24" t="str">
        <x:v>中</x:v>
      </x:c>
    </x:row>
    <x:row r="16" ht="207" customHeight="1">
      <x:c r="A16" s="8" t="str">
        <x:v>TPE1999-V12-015</x:v>
      </x:c>
      <x:c r="B16" s="8" t="str">
        <x:v>道路凹陷、不平、有高低差</x:v>
      </x:c>
      <x:c r="C16" s="8" t="str">
        <x:v>FAM-ROAD-CROSSING-APPROACH</x:v>
      </x:c>
      <x:c r="D16" s="8" t="str">
        <x:v>R:您好，我是1999客服，請問今天要反映什麼？
L:士林區一處公車停靠區前的車道有路面破損，公車輪胎壓過會震一下，等車的人站在旁邊也聽得到聲音。
R:破損是在車門停靠位置的前方還是後方？
L:在車門大約停的位置前面一些，離路緣不遠，但沒有壓到人行空間；是往北行駛方向的外側車道。
R:看起來像坑洞還是表面隆起？範圍多大？
L:像不規則淺坑，大約一個公事包大小，外圈有碎紋，中心稍低；這幾天看起來沒有明顯擴大。
R:您什麼時候開始注意到？
L:上週後半開始，公車每次停靠前輪都會經過那裡，車身震一下，站牌邊的人也會聽到輪胎撞擊聲。
R:它是否延伸到乘客上下車的平台？
L:沒有，在車道上、平台之前；我今天又看到外圈有幾條細裂，旁邊行人空間保持完整。
R:其他車輛經過同一處也會有反應嗎？
L:會，幾台公車都在停靠前震一下；我站在候車位置聽得到撞擊聲，但人行平台沒有破損。
R:了解，我會說明停靠前車道破損及公車通過時的震動，謝謝您。</x:v>
      </x:c>
      <x:c r="E16" s="9" t="str"/>
      <x:c r="F16" s="9" t="str"/>
      <x:c r="G16" s="9" t="str"/>
      <x:c r="H16" s="9" t="str"/>
      <x:c r="I16" s="9" t="str"/>
      <x:c r="J16" s="9" t="str"/>
      <x:c r="K16" s="9" t="str"/>
      <x:c r="L16" s="9" t="str">
        <x:v>pending</x:v>
      </x:c>
      <x:c r="M16" s="9" t="str"/>
      <x:c r="N16" s="24" t="str">
        <x:v>pass</x:v>
      </x:c>
      <x:c r="O16" s="24" t="str">
        <x:v>公車停靠區前的車道破損符合既有停靠／穿越位置前路面家族；人行平台明確排除。  格式檢視：13 行、337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6" s="24" t="str">
        <x:v>否</x:v>
      </x:c>
      <x:c r="Q16" s="24" t="str">
        <x:v>高</x:v>
      </x:c>
    </x:row>
    <x:row r="17" ht="207" customHeight="1">
      <x:c r="A17" s="8" t="str">
        <x:v>TPE1999-V12-016</x:v>
      </x:c>
      <x:c r="B17" s="8" t="str">
        <x:v>道路凹陷、不平、有高低差</x:v>
      </x:c>
      <x:c r="C17" s="8" t="str">
        <x:v>FAM-ROAD-CROSSING-APPROACH</x:v>
      </x:c>
      <x:c r="D17" s="8" t="str">
        <x:v>R:您好，請告訴我您想反映的情況。
L:大安區一處行人穿越線前的車道路面凹了一塊，機車停等後起步會突然顛一下，我擔心小輪車輛會失去平衡。
R:凹處在穿越線前哪個方向的車道？白線有受到影響嗎？
L:往西行最外側車道，離穿越線約一個車身，沒有延伸到白色線條；旁邊標線看起來完整。
R:高低差明顯嗎？表面有掉落的大塊碎石嗎？
L:約兩個鞋盒大小，中心較低，外圈有裂紋但沒有大塊掉落；白天看得出來，晚上顏色暗就不明顯。
R:尖峰時車多，騎士會怎麼通過？
L:下班時機車排隊停在附近，起步有人往內側偏；後車多時不容易繞，雨天也不會整個淹住，但坑色和周圍很接近。
R:位置是在停止線下方嗎？
L:不是，在行穿線前一個車身左右，離停止線還有一段，只有那個外側車道有落差。
R:您看到坑邊有積水或遮蔽物嗎？
L:沒有遮蔽物，雨天只有薄薄一層水，坑的輪廓還在；路面顏色接近周圍，所以晚上不容易看出來。
R:我會按穿越線前外側車道的凹陷及起步顛簸來描述。</x:v>
      </x:c>
      <x:c r="E17" s="9" t="str"/>
      <x:c r="F17" s="9" t="str"/>
      <x:c r="G17" s="9" t="str"/>
      <x:c r="H17" s="9" t="str"/>
      <x:c r="I17" s="9" t="str"/>
      <x:c r="J17" s="9" t="str"/>
      <x:c r="K17" s="9" t="str"/>
      <x:c r="L17" s="9" t="str">
        <x:v>pending</x:v>
      </x:c>
      <x:c r="M17" s="9" t="str"/>
      <x:c r="N17" s="24" t="str">
        <x:v>pass</x:v>
      </x:c>
      <x:c r="O17" s="24" t="str">
        <x:v>行穿線前車道凹陷符合停靠／穿越前路面家族；標線與車道狀況有清楚區分。  格式檢視：13 行、342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7" s="24" t="str">
        <x:v>否</x:v>
      </x:c>
      <x:c r="Q17" s="24" t="str">
        <x:v>高</x:v>
      </x:c>
    </x:row>
    <x:row r="18" ht="207" customHeight="1">
      <x:c r="A18" s="8" t="str">
        <x:v>TPE1999-V12-017</x:v>
      </x:c>
      <x:c r="B18" s="8" t="str">
        <x:v>道路凹陷、不平、有高低差</x:v>
      </x:c>
      <x:c r="C18" s="8" t="str">
        <x:v>FAM-ROAD-REPAIR-JOINT</x:v>
      </x:c>
      <x:c r="D18" s="8" t="str">
        <x:v>R:您好，請問您看到什麼需要協助記錄？
L:中山區一段市區道路有橫向接縫高低差，機車騎過去像越過一道小坎，速度稍快時手把會震一下。
R:接縫是沿著車道橫過去嗎？不同車道都看得到嗎？
L:大致橫跨外側車道和中間車道，內側比較不明顯；往北行時前面一側較高，後面稍低。
R:下雨後會不會更難判斷？有碎石或鬆動嗎？
L:沒有散落碎石，表面看起來固定。昨天傍晚下雨後顏色接近路面，車子靠近才發現，機車都會先放慢。
R:接縫附近的車流反應如何？
L:有些騎士提前減速，後車偶爾來不及跟上；我這幾天每天經過，外側通過時震感最明顯。
R:它在路口附近還是一般路段？
L:在一般路段，接縫橫向穿過車行道，外側靠中間的位置落差明顯；不是人行道鋪面。
R:接縫兩側高度差在雨停後仍看得出來嗎？
L:看得出來，路面乾了也有一條橫向高低線；沒有積水或散落物，騎過時仍會感覺手把震動。
R:我會註明橫向接縫前後不平、機車通過會震動，謝謝您的補充。</x:v>
      </x:c>
      <x:c r="E18" s="9" t="str"/>
      <x:c r="F18" s="9" t="str"/>
      <x:c r="G18" s="9" t="str"/>
      <x:c r="H18" s="9" t="str"/>
      <x:c r="I18" s="9" t="str"/>
      <x:c r="J18" s="9" t="str"/>
      <x:c r="K18" s="9" t="str"/>
      <x:c r="L18" s="9" t="str">
        <x:v>pending</x:v>
      </x:c>
      <x:c r="M18" s="9" t="str"/>
      <x:c r="N18" s="24" t="str">
        <x:v>pass</x:v>
      </x:c>
      <x:c r="O18" s="24" t="str">
        <x:v>橫向接縫有高低差，符合修補／施工接縫家族；未把單純裂縫當作主要問題。  格式檢視：13 行、335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8" s="24" t="str">
        <x:v>否</x:v>
      </x:c>
      <x:c r="Q18" s="24" t="str">
        <x:v>高</x:v>
      </x:c>
    </x:row>
    <x:row r="19" ht="207" customHeight="1">
      <x:c r="A19" s="8" t="str">
        <x:v>TPE1999-V12-018</x:v>
      </x:c>
      <x:c r="B19" s="8" t="str">
        <x:v>道路凹陷、不平、有高低差</x:v>
      </x:c>
      <x:c r="C19" s="8" t="str">
        <x:v>FAM-ROAD-REPAIR-JOINT</x:v>
      </x:c>
      <x:c r="D19" s="8" t="str">
        <x:v>R:您好，請問您遇到什麼情況？我來協助記錄。
L:文山區一處先前修補過的車道路面，補面邊緣沒有和原路面接平，開車經過會連續震兩下，像輪胎先上再下。
R:您感覺到震動的位置在補面哪一側？中央也有凹洞嗎？
L:靠右側車道的補面邊緣，邊界是一道斜線，從前側斜向另一邊；補面中央平整，沒有坑洞。
R:是輪胎跨過邊緣時才震動嗎？其他車輛也會遇到嗎？
L:對，先越過較高的補面，再回到原路面就震兩次。公車經過也會晃，機車常提前往旁邊移開。
R:表面有沒有裂開或碎屑？最近是否變化？
L:邊線有細裂，但沒有看到掉屑；大約半個月前開始留意，最近看起來差不多，雨天更容易忽略接縫。
R:補面大約在路口前還是過路口之後？
L:過路口一小段，右側車道；不是停止線上，問題集中在斜向接縫的高低差。
R:您所說的連續震動是每次經過都會發生嗎？
L:只要車輪跨過補面斜邊就會震兩下，避開那一側會好一些；補面中央沒有凹洞，周圍也無碎塊。
R:我會把補面邊界未接平及車輪先上後下的情況寫明，便於查察。</x:v>
      </x:c>
      <x:c r="E19" s="9" t="str"/>
      <x:c r="F19" s="9" t="str"/>
      <x:c r="G19" s="9" t="str"/>
      <x:c r="H19" s="9" t="str"/>
      <x:c r="I19" s="9" t="str"/>
      <x:c r="J19" s="9" t="str"/>
      <x:c r="K19" s="9" t="str"/>
      <x:c r="L19" s="9" t="str">
        <x:v>pending</x:v>
      </x:c>
      <x:c r="M19" s="9" t="str"/>
      <x:c r="N19" s="24" t="str">
        <x:v>pass</x:v>
      </x:c>
      <x:c r="O19" s="24" t="str">
        <x:v>補面斜邊未接平造成車輪先上後下，與既有接縫家族吻合；重複確認仍服務同一主訴。  格式檢視：13 行、356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19" s="24" t="str">
        <x:v>否</x:v>
      </x:c>
      <x:c r="Q19" s="24" t="str">
        <x:v>高</x:v>
      </x:c>
    </x:row>
    <x:row r="20" ht="207" customHeight="1">
      <x:c r="A20" s="8" t="str">
        <x:v>TPE1999-V12-019</x:v>
      </x:c>
      <x:c r="B20" s="8" t="str">
        <x:v>道路凹陷、不平、有高低差</x:v>
      </x:c>
      <x:c r="C20" s="8" t="str">
        <x:v>FAM-ROAD-LONGITUDINAL-TRANSITION</x:v>
      </x:c>
      <x:c r="D20" s="8" t="str">
        <x:v>R:您好，您可以先說說觀察到的狀況。
L:南港區一段上坡車道接近坡頂時有斜向高低差，車子從右側切往左側會突然跳一下，乘客也感覺得到。
R:接縫從路邊延伸到哪個位置？表面有沒有破裂？
L:從靠路邊處斜斜伸到車道中間，沒有到對向車道；表面沒有碎裂，但兩側高度不一。
R:直行通過也會感覺到嗎？
L:會輕微震一下，從右切左時角度剛好跨過接縫，車身晃得比較大；上週載家人經過才特別注意到。
R:靠路邊那端是較高還是較低？
L:靠路邊比較低，中間接縫略高，車輪壓過先往下再被帶起；坡頂過去後路面平順。
R:情況會延伸到坡頂後面嗎？
L:不會，只有坡頂前接縫附近一小段，沒有一路延伸；沒有看到施工器材或其他阻擋物。
R:接縫前後還有其他坑洞嗎？
L:沒有看到其他坑洞，主要就是坡頂前這條斜接縫；路面本身沒有碎石或鬆動。
R:收到，我會記錄上坡接近坡頂的斜向接縫及兩側落差。</x:v>
      </x:c>
      <x:c r="E20" s="9" t="str"/>
      <x:c r="F20" s="9" t="str"/>
      <x:c r="G20" s="9" t="str"/>
      <x:c r="H20" s="9" t="str"/>
      <x:c r="I20" s="9" t="str"/>
      <x:c r="J20" s="9" t="str"/>
      <x:c r="K20" s="9" t="str"/>
      <x:c r="L20" s="9" t="str">
        <x:v>pending</x:v>
      </x:c>
      <x:c r="M20" s="9" t="str"/>
      <x:c r="N20" s="24" t="str">
        <x:v>pass</x:v>
      </x:c>
      <x:c r="O20" s="24" t="str">
        <x:v>坡頂前斜向接縫高差符合長條／斜向高低差家族；對角通過時震動是同一問題。  格式檢視：13 行、310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0" s="24" t="str">
        <x:v>否</x:v>
      </x:c>
      <x:c r="Q20" s="24" t="str">
        <x:v>高</x:v>
      </x:c>
    </x:row>
    <x:row r="21" ht="207" customHeight="1">
      <x:c r="A21" s="8" t="str">
        <x:v>TPE1999-V12-020</x:v>
      </x:c>
      <x:c r="B21" s="8" t="str">
        <x:v>道路凹陷、不平、有高低差</x:v>
      </x:c>
      <x:c r="C21" s="8" t="str">
        <x:v>FAM-ROAD-LONGITUDINAL-TRANSITION</x:v>
      </x:c>
      <x:c r="D21" s="8" t="str">
        <x:v>R:您好，我是臺北市1999客服。請問有什麼需要協助？
L:北投區一處橋下出口後的外側車道有長條起伏，公車開過去上下晃，後方機車也會左右修正方向。
R:這是單一道接縫，還是比較長的一片起伏？
L:不是單一道，像長條路面一邊高、一邊低；沿外側車道往前十幾公尺都感覺得到，貼近路邊最明顯。
R:下雨時會讓高低差不容易看見嗎？
L:會，水流經過時邊界被遮住。我這兩週常搭同一班公車，前幾天起伏好像更明顯，車身經過會連著晃幾下。
R:中間車道也有相同狀況嗎？
L:中間車道相對平整，轉到那邊感覺小很多；問題在橋下出口後到前方路口之前的外側車道。
R:車流是否會因此突然變換車道？
L:有些機車會往內側修正，後方車輛得留意；我沒有看到路面有碎塊，也不是橋面上的問題。
R:起伏會不會只在雨天出現？
L:不是，晴天搭車也感覺得到，只是下雨後邊界更難辨認；外側車道仍是最明顯的路段。
R:我會按橋下出口後外側車道的長條起伏及雨天辨識困難來記錄。</x:v>
      </x:c>
      <x:c r="E21" s="9" t="str"/>
      <x:c r="F21" s="9" t="str"/>
      <x:c r="G21" s="9" t="str"/>
      <x:c r="H21" s="9" t="str"/>
      <x:c r="I21" s="9" t="str"/>
      <x:c r="J21" s="9" t="str"/>
      <x:c r="K21" s="9" t="str"/>
      <x:c r="L21" s="9" t="str">
        <x:v>pending</x:v>
      </x:c>
      <x:c r="M21" s="9" t="str"/>
      <x:c r="N21" s="24" t="str">
        <x:v>revise</x:v>
      </x:c>
      <x:c r="O21" s="24" t="str">
        <x:v>逐字稿描述的是較大範圍連續波狀起伏，並明說不是單一道接縫或輪跡；與目前標記的長條／斜向高低差僅部分吻合，較接近草案中的廣泛起伏家族。建議人工確認既有 taxonomy 下的家族歸屬。 特別確認：逐字稿與現有家族的邊界相近，需由人工判斷是否要採用更適合的家族概念。 格式檢視：13 行、339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1" s="24" t="str">
        <x:v>是</x:v>
      </x:c>
      <x:c r="Q21" s="24" t="str">
        <x:v>中</x:v>
      </x:c>
    </x:row>
    <x:row r="22" ht="207" customHeight="1">
      <x:c r="A22" s="8" t="str">
        <x:v>TPE1999-V12-021</x:v>
      </x:c>
      <x:c r="B22" s="8" t="str">
        <x:v>一般公園綠地管理及設施維護（含車輛違規進入）</x:v>
      </x:c>
      <x:c r="C22" s="8" t="str">
        <x:v>FAM-PARK-SEATING</x:v>
      </x:c>
      <x:c r="D22" s="8" t="str">
        <x:v>R:您好，這裡是1999。您想反映什麼情況？
L:大安區一座公園休息區的木椅椅背裂開，木片往外翹，坐著靠背會碰到衣服；我看到長者改坐到旁邊的椅子。
R:裂口是在椅背哪個位置？椅腳有沒有一起鬆動？
L:椅背中間偏右，約一個手掌長，椅腳很穩；只有木片外緣的尖角翹起來，遠看不太明顯。
R:您最近一次看到是在什麼時候？
L:星期一傍晚第一次注意，今天早上再經過仍在原位；周圍有其他座椅可以使用，不過這張在步道旁。
R:坐下或起身時，尖角會碰到手或衣物嗎？
L:靠背時會勾到外套，座面沒有損壞；裂片沒有脫落，我只是提醒同行的人先坐旁邊那張。
R:這張椅子大約在園內哪個位置？
L:沿主要步道走到涼亭外側，椅子面向園內，不在亭子裡；從步道走過去就看得到。
R:椅背的裂片會隨著倚靠移動嗎？
L:沒有整片晃動，只是外側木片翹起；我沒去扳它，裂口仍在原來的位置，椅腳也沒有不穩。
R:我會記錄公園步道旁木椅椅背裂損、尖角翹起及椅腳穩固的狀況。</x:v>
      </x:c>
      <x:c r="E22" s="9" t="str"/>
      <x:c r="F22" s="9" t="str"/>
      <x:c r="G22" s="9" t="str"/>
      <x:c r="H22" s="9" t="str"/>
      <x:c r="I22" s="9" t="str"/>
      <x:c r="J22" s="9" t="str"/>
      <x:c r="K22" s="9" t="str"/>
      <x:c r="L22" s="9" t="str">
        <x:v>pending</x:v>
      </x:c>
      <x:c r="M22" s="9" t="str"/>
      <x:c r="N22" s="24" t="str">
        <x:v>pass</x:v>
      </x:c>
      <x:c r="O22" s="24" t="str">
        <x:v>公園木椅椅背裂損與翹片符合座椅維護；椅腳穩固等資訊是在界定同一故障。  格式檢視：13 行、334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2" s="24" t="str">
        <x:v>否</x:v>
      </x:c>
      <x:c r="Q22" s="24" t="str">
        <x:v>高</x:v>
      </x:c>
    </x:row>
    <x:row r="23" ht="177" customHeight="1">
      <x:c r="A23" s="8" t="str">
        <x:v>TPE1999-V12-022</x:v>
      </x:c>
      <x:c r="B23" s="8" t="str">
        <x:v>一般公園綠地管理及設施維護（含車輛違規進入）</x:v>
      </x:c>
      <x:c r="C23" s="8" t="str">
        <x:v>FAM-PARK-SEATING</x:v>
      </x:c>
      <x:c r="D23" s="8" t="str">
        <x:v>R:您好，我是1999客服。請您描述一下需要協助的事。
L:中山區一座社區公園的石桌鬆了，兩人靠上去時桌面會晃，桌邊還缺一小角，家長不太敢讓小孩在旁邊畫畫。
R:桌腳看起來歪斜嗎？缺角和會晃的是同一處嗎？
L:桌腳沒有歪，右前角往下按會動，缺角就在那個角落；缺口不大但摸得到粗糙邊，另外三邊完整。
R:最近有看到變化嗎？桌面上放東西會不會滑動？
L:上週末還沒這麼明顯，昨天把水壺放在桌上，瓶子會慢慢往外側滑，我們就沒再放東西在那個角落。
R:周圍座椅或桌面其他部分也不穩嗎？
L:旁邊幾張單人椅沒有問題，桌面中央和其他三邊都穩，只有靠木平台外緣的右前角會動。
R:桌子旁的鋪面有沒有高低差或其他危險？
L:地面平整，沒有其他物品擋住；主要是石桌一角缺口粗糙，而且按下去會晃。
R:我把社區公園休息區石桌右前角缺損及按壓會晃的情況記下，謝謝您。</x:v>
      </x:c>
      <x:c r="E23" s="9" t="str"/>
      <x:c r="F23" s="9" t="str"/>
      <x:c r="G23" s="9" t="str"/>
      <x:c r="H23" s="9" t="str"/>
      <x:c r="I23" s="9" t="str"/>
      <x:c r="J23" s="9" t="str"/>
      <x:c r="K23" s="9" t="str"/>
      <x:c r="L23" s="9" t="str">
        <x:v>pending</x:v>
      </x:c>
      <x:c r="M23" s="9" t="str"/>
      <x:c r="N23" s="24" t="str">
        <x:v>pass</x:v>
      </x:c>
      <x:c r="O23" s="24" t="str">
        <x:v>公園石桌桌角缺損且鬆動，屬座椅／休憩家具維護；沒有另報地坪或其他設施。  格式檢視：11 行、305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3" s="24" t="str">
        <x:v>否</x:v>
      </x:c>
      <x:c r="Q23" s="24" t="str">
        <x:v>高</x:v>
      </x:c>
    </x:row>
    <x:row r="24" ht="192" customHeight="1">
      <x:c r="A24" s="8" t="str">
        <x:v>TPE1999-V12-023</x:v>
      </x:c>
      <x:c r="B24" s="8" t="str">
        <x:v>一般公園綠地管理及設施維護（含車輛違規進入）</x:v>
      </x:c>
      <x:c r="C24" s="8" t="str">
        <x:v>FAM-PARK-PLAY-EQUIPMENT</x:v>
      </x:c>
      <x:c r="D24" s="8" t="str">
        <x:v>R:您好，請問您看到什麼情況？
L:文山區一座公園遊戲區的攀爬架有一根橫桿接點裂開，孩子抓上去會聽到喀一聲，家長現在會提醒小朋友先避開那一側。
R:是金屬桿裂了，還是外面的包覆破損？抓握時會不會晃？
L:外層塑膠套裂開，裡面的桿子看起來仍直，但抓住時有一點晃，裂口邊緣還有細小塑膠屑。
R:最近有人使用時發現嗎？現場有沒有提醒或隔開？
L:週末開始有家長互相提醒，今天下午仍有人走過去想爬；我沒看到警示牌或圍帶，所以先口頭提醒孩子別碰。
R:那組設備旁邊有什麼設施可以幫忙辨認？
L:在沙坑旁的藍色攀爬架，靠沙坑那側第二個接點有裂，另一端目前看不出損壞。
R:接點裂口會碰到孩子的手掌嗎？
L:會，孩子抓握橫桿時就在手邊；我沒有拆看內部，從外面只看得到塑膠套裂開。
R:我會按遊戲區攀爬架靠沙坑側的接點裂損和輕微晃動來說明。</x:v>
      </x:c>
      <x:c r="E24" s="9" t="str"/>
      <x:c r="F24" s="9" t="str"/>
      <x:c r="G24" s="9" t="str"/>
      <x:c r="H24" s="9" t="str"/>
      <x:c r="I24" s="9" t="str"/>
      <x:c r="J24" s="9" t="str"/>
      <x:c r="K24" s="9" t="str"/>
      <x:c r="L24" s="9" t="str">
        <x:v>pending</x:v>
      </x:c>
      <x:c r="M24" s="9" t="str"/>
      <x:c r="N24" s="24" t="str">
        <x:v>pass</x:v>
      </x:c>
      <x:c r="O24" s="24" t="str">
        <x:v>攀爬架接點包覆裂開並輕微晃動，符合遊戲設備本體故障；未把警示設施缺失另列主訴。  格式檢視：11 行、302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4" s="24" t="str">
        <x:v>否</x:v>
      </x:c>
      <x:c r="Q24" s="24" t="str">
        <x:v>高</x:v>
      </x:c>
    </x:row>
    <x:row r="25" ht="222" customHeight="1">
      <x:c r="A25" s="8" t="str">
        <x:v>TPE1999-V12-024</x:v>
      </x:c>
      <x:c r="B25" s="8" t="str">
        <x:v>一般公園綠地管理及設施維護（含車輛違規進入）</x:v>
      </x:c>
      <x:c r="C25" s="8" t="str">
        <x:v>FAM-PARK-PLAY-EQUIPMENT</x:v>
      </x:c>
      <x:c r="D25" s="8" t="str">
        <x:v>R:您好，這裡是臺北市1999，您想反映什麼？
L:南港區一座公園的盪鞦韆吊鏈靠座板的一端磨損，塑膠包覆脫落後露出金屬，坐上去時手會碰到，孩子現在不想玩那張。
R:鏈條本身還連著嗎？露出的部分大約多長？
L:鏈條還連著，沒有彎曲，約三指長；推動時會有一點摩擦聲，另外兩個座位看起來正常。
R:您上次看到包覆完整是什麼時候？
L:上週帶小孩來時外皮還在，今天摸到邊緣已經翹起，握鏈子時手指會碰到粗粗的金屬面。
R:露出的地方在高處還是靠近座板？
L:在靠座板的低處，是離步道最近的那個座位右側；座板沒有裂，其他吊鏈目前沒看到相同狀況。
R:附近是否有其他使用者也停用這一張？
L:有家長把孩子帶去玩另外兩張，沒有人碰受損那條鏈；我沒有看到零件掉在地上。
R:包覆脫落後有沒有看到鏈節鬆脫？
L:沒有，鏈條仍完整連著，只是外層磨掉一段；我沒再讓孩子握那個位置。
R:我會把單一座位吊鏈包覆脫落、金屬外露及鏈條仍連接的情形記錄下來。</x:v>
      </x:c>
      <x:c r="E25" s="9" t="str"/>
      <x:c r="F25" s="9" t="str"/>
      <x:c r="G25" s="9" t="str"/>
      <x:c r="H25" s="9" t="str"/>
      <x:c r="I25" s="9" t="str"/>
      <x:c r="J25" s="9" t="str"/>
      <x:c r="K25" s="9" t="str"/>
      <x:c r="L25" s="9" t="str">
        <x:v>pending</x:v>
      </x:c>
      <x:c r="M25" s="9" t="str"/>
      <x:c r="N25" s="24" t="str">
        <x:v>pass</x:v>
      </x:c>
      <x:c r="O25" s="24" t="str">
        <x:v>鞦韆吊鏈包覆脫落且金屬外露，符合遊戲設備家族；鏈條仍連接是同一設備狀況的澄清。  格式檢視：13 行、337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5" s="24" t="str">
        <x:v>否</x:v>
      </x:c>
      <x:c r="Q25" s="24" t="str">
        <x:v>高</x:v>
      </x:c>
    </x:row>
    <x:row r="26" ht="207" customHeight="1">
      <x:c r="A26" s="8" t="str">
        <x:v>TPE1999-V12-025</x:v>
      </x:c>
      <x:c r="B26" s="8" t="str">
        <x:v>一般公園綠地管理及設施維護（含車輛違規進入）</x:v>
      </x:c>
      <x:c r="C26" s="8" t="str">
        <x:v>FAM-PARK-SPORTS-EQUIPMENT</x:v>
      </x:c>
      <x:c r="D26" s="8" t="str">
        <x:v>R:您好，您可以先說說遇到的狀況嗎？
L:信義區一座公園體健區的肩部轉盤固定座鬆了，轉動時底座會翹起，手放開後還晃幾下，我們已先停用那一座。
R:轉盤面本身有裂嗎？地上有沒有看到螺絲或零件？
L:轉盤面沒有破，地上也沒看到螺絲；是固定在地面的圓底座一邊會抬起來，輕推就能感覺得到。
R:最近一次使用時有異音或碰撞嗎？
L:昨天陪家人去時，每轉一圈底座會輕敲地面；前兩週使用還沒注意到，現在不敢讓家人繼續用。
R:旁邊其他器材也有鬆動嗎？
L:只有靠外圍的這個轉盤，旁邊的單車健身器穩定；不需要用很大力，輕輕轉就會晃。
R:您說的體健區大約在園內什麼位置？
L:沿左側步道經過涼亭後就會看到，靠外圍那一座；沒有其他同款設備緊挨著它。
R:底座翹起時，周圍地面也有裂痕嗎？
L:沒有看到地面裂開或螺絲掉落，只有底座抬起後會碰地發出輕響，轉盤面本身完整。
R:了解，我會描述轉盤固定底座翹動、輕轉會晃及相鄰器材正常。</x:v>
      </x:c>
      <x:c r="E26" s="9" t="str"/>
      <x:c r="F26" s="9" t="str"/>
      <x:c r="G26" s="9" t="str"/>
      <x:c r="H26" s="9" t="str"/>
      <x:c r="I26" s="9" t="str"/>
      <x:c r="J26" s="9" t="str"/>
      <x:c r="K26" s="9" t="str"/>
      <x:c r="L26" s="9" t="str">
        <x:v>pending</x:v>
      </x:c>
      <x:c r="M26" s="9" t="str"/>
      <x:c r="N26" s="24" t="str">
        <x:v>pass</x:v>
      </x:c>
      <x:c r="O26" s="24" t="str">
        <x:v>體健轉盤固定座翹動，符合運動設備固定故障；沒有地面裂損或器材以外的主訴。  格式檢視：13 行、333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6" s="24" t="str">
        <x:v>否</x:v>
      </x:c>
      <x:c r="Q26" s="24" t="str">
        <x:v>高</x:v>
      </x:c>
    </x:row>
    <x:row r="27" ht="207" customHeight="1">
      <x:c r="A27" s="8" t="str">
        <x:v>TPE1999-V12-026</x:v>
      </x:c>
      <x:c r="B27" s="8" t="str">
        <x:v>一般公園綠地管理及設施維護（含車輛違規進入）</x:v>
      </x:c>
      <x:c r="C27" s="8" t="str">
        <x:v>FAM-PARK-GREENERY</x:v>
      </x:c>
      <x:c r="D27" s="8" t="str">
        <x:v>R:您好，請告訴我您想反映的情況。
L:北投區一座公園步道旁的灌木長得太寬，枝葉伸進通行空間，兩個人迎面走時得輪流停下來讓路。
R:是整段都變窄，還是有一處特別突出？枝條有刺或折斷嗎？
L:彎道中間最突出，直線段還能正常通過；沒有刺，也沒看到倒枝，就是枝葉往步道內側長出來。
R:您最近才注意到，還是一直都有這樣？
L:上週同一段還沒這麼窄，最近幾天看起來長得更外面。早上推嬰兒車的人要側身，會先等另一邊的人通過。
R:旁邊是否有其他植栽或雜物也占到路面？
L:沒有其他東西擋路，只有彎道中段的灌木外伸；植栽仍在花圃裡，沒有倒到地上。
R:步道另一側還有足夠空間通行嗎？
L:可以從外側慢慢走過，但兩人無法並排，推車遇到迎面行人時只能停下讓路。
R:伸出的枝葉會不會遮住前方視線？
L:彎道上會稍微擋到對向行人，兩邊的人得先看一下再通過；枝條沒有折斷，也沒有碰到旁邊設施。
R:我會記下公園彎道灌木枝葉外伸、造成通行變窄的範圍。</x:v>
      </x:c>
      <x:c r="E27" s="9" t="str"/>
      <x:c r="F27" s="9" t="str"/>
      <x:c r="G27" s="9" t="str"/>
      <x:c r="H27" s="9" t="str"/>
      <x:c r="I27" s="9" t="str"/>
      <x:c r="J27" s="9" t="str"/>
      <x:c r="K27" s="9" t="str"/>
      <x:c r="L27" s="9" t="str">
        <x:v>pending</x:v>
      </x:c>
      <x:c r="M27" s="9" t="str"/>
      <x:c r="N27" s="24" t="str">
        <x:v>pass</x:v>
      </x:c>
      <x:c r="O27" s="24" t="str">
        <x:v>公園灌木外伸造成步道變窄，符合植栽管理；通行與視線影響仍是同一植栽問題。  格式檢視：13 行、341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7" s="24" t="str">
        <x:v>否</x:v>
      </x:c>
      <x:c r="Q27" s="24" t="str">
        <x:v>高</x:v>
      </x:c>
    </x:row>
    <x:row r="28" ht="177" customHeight="1">
      <x:c r="A28" s="8" t="str">
        <x:v>TPE1999-V12-027</x:v>
      </x:c>
      <x:c r="B28" s="8" t="str">
        <x:v>一般公園綠地管理及設施維護（含車輛違規進入）</x:v>
      </x:c>
      <x:c r="C28" s="8" t="str">
        <x:v>FAM-PARK-PLANTING-BED</x:v>
      </x:c>
      <x:c r="D28" s="8" t="str">
        <x:v>R:您好，請您先描述一下看到的狀況。
L:大同區一座公園裡，花圃邊的土常被雨水沖到步道上，最近幾次下雨後泥帶變寬，鞋底容易沾到濕土。
R:泥土是從花圃哪個位置流出來？花草有被拔起或倒伏嗎？
L:在長形花圃靠彎道的端點，邊緣有幾處露土，花草還在；細土被水帶出來，乾後留下一層薄粉土。
R:這種情況多久出現一次？行人走過會把土帶到其他地方嗎？
L:近兩週下過三次雨，隔天早上都看得到。昨天還有些濕滑，鞋底踩過後會把泥印帶到步道前面。
R:泥土是否已經到步道中央或影響整段通行？
L:主要是靠花圃內彎的一側，往步道延伸約一公尺多，沒有鋪滿整段；其他花圃邊緣目前乾淨。
R:您是在園內步道還是外面的道路看到？
L:是在公園裡的步道，土從內彎花圃邊緣沖出來，沒有流到園外路面，也沒有植物被拔掉。
R:我會把雨後花圃土壤流到步道及濕滑影響寫清楚，謝謝您。</x:v>
      </x:c>
      <x:c r="E28" s="9" t="str"/>
      <x:c r="F28" s="9" t="str"/>
      <x:c r="G28" s="9" t="str"/>
      <x:c r="H28" s="9" t="str"/>
      <x:c r="I28" s="9" t="str"/>
      <x:c r="J28" s="9" t="str"/>
      <x:c r="K28" s="9" t="str"/>
      <x:c r="L28" s="9" t="str">
        <x:v>pending</x:v>
      </x:c>
      <x:c r="M28" s="9" t="str"/>
      <x:c r="N28" s="24" t="str">
        <x:v>pass</x:v>
      </x:c>
      <x:c r="O28" s="24" t="str">
        <x:v>花圃土壤雨後流入園內步道，符合植栽區土壤流失；濕滑是後果，未另報排水故障。  格式檢視：11 行、308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8" s="24" t="str">
        <x:v>否</x:v>
      </x:c>
      <x:c r="Q28" s="24" t="str">
        <x:v>高</x:v>
      </x:c>
    </x:row>
    <x:row r="29" ht="192" customHeight="1">
      <x:c r="A29" s="8" t="str">
        <x:v>TPE1999-V12-028</x:v>
      </x:c>
      <x:c r="B29" s="8" t="str">
        <x:v>一般公園綠地管理及設施維護（含車輛違規進入）</x:v>
      </x:c>
      <x:c r="C29" s="8" t="str">
        <x:v>FAM-PARK-VEHICLE-ENTRY</x:v>
      </x:c>
      <x:c r="D29" s="8" t="str">
        <x:v>R:您好，這裡是1999客服。您觀察到什麼需要協助記錄？
L:大安區一座公園的步行入口，昨天傍晚有一輛自小客車從固定矮柱間開進園內，沿步道到涼亭旁停了一下，之後又原路退出。
R:入口附近當時有施工或工作人員引導嗎？車子停留多久？
L:沒有看到施工，也沒有人引導或搬動設施；車子在涼亭旁的小廣場停了幾分鐘，然後沿原路開出去。
R:當時步道上有行人嗎？車速大約如何？
L:有幾位長者和慢跑的人，看到車頭進來後停下或靠草地讓過；車速不快，但步道本來就不寬。
R:您看到車子從哪一側進入，時間大約幾點？
L:昨天傍晚六點多，從公園外側靠右的步行入口進來，穿過兩根固定矮柱，沒有看到車輛從其他通道進入。
R:離開時是沿同一路線嗎？
L:是，從涼亭旁退回入口後開出去；我看到它完全離開園區才走，並沒有停在步道上。
R:我會記錄傍晚車輛由步行入口進園、短暫停留後退出及行人讓行的情形。</x:v>
      </x:c>
      <x:c r="E29" s="9" t="str"/>
      <x:c r="F29" s="9" t="str"/>
      <x:c r="G29" s="9" t="str"/>
      <x:c r="H29" s="9" t="str"/>
      <x:c r="I29" s="9" t="str"/>
      <x:c r="J29" s="9" t="str"/>
      <x:c r="K29" s="9" t="str"/>
      <x:c r="L29" s="9" t="str">
        <x:v>pending</x:v>
      </x:c>
      <x:c r="M29" s="9" t="str"/>
      <x:c r="N29" s="24" t="str">
        <x:v>revise</x:v>
      </x:c>
      <x:c r="O29" s="24" t="str">
        <x:v>車輛進入情境符合 park 類標籤，但入口矮柱、涼亭、小廣場、行車路徑及精確時段組合較細。建議刪減一至兩個定位錨點，保留足以理解為園內步行區車輛進入的概略位置。 特別確認：入口矮柱、涼亭、小廣場及行車路徑多個錨點同時出現，請人工判斷是否過度定位。 格式檢視：11 行、317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29" s="24" t="str">
        <x:v>是</x:v>
      </x:c>
      <x:c r="Q29" s="24" t="str">
        <x:v>中</x:v>
      </x:c>
    </x:row>
    <x:row r="30" ht="222" customHeight="1">
      <x:c r="A30" s="8" t="str">
        <x:v>TPE1999-V12-029</x:v>
      </x:c>
      <x:c r="B30" s="8" t="str">
        <x:v>一般公園綠地管理及設施維護（含車輛違規進入）</x:v>
      </x:c>
      <x:c r="C30" s="8" t="str">
        <x:v>FAM-PARK-VEHICLE-ENTRY</x:v>
      </x:c>
      <x:c r="D30" s="8" t="str">
        <x:v>R:您好，請問您想反映什麼事？
L:松山區一座公園裡有人騎機車沿行人步道進去，從側門一路騎到遊戲區外圍，小朋友看到車經過都停下來看。
R:您看到時大概是什麼時候？機車最後停在哪裡？
L:今天接近放學、下午四點半左右，車子沿著靠圍牆一側進來，最後停在遊戲區外圍的入口旁，沒有繼續騎進遊戲範圍。
R:那條步道平常會有行人通過嗎？
L:大家平常都步行，入口不寬，也沒有車道標線；我沒有看到工作人員同行，車速不算快。
R:行人或孩子有需要避讓嗎？
L:彎道看不到另一側，有兩個小朋友先停住，家長牽他們退到旁邊，車子過去後大家才繼續走。
R:您能描述側門在公園哪個方向嗎？
L:比正門更靠東側，入口沿圍牆旁的步道彎進去；我離開時機車仍停在外圍入口旁。
R:機車停下後是否又沿步道離開？
L:我離開時它還停在入口旁，沒有看見後續動向；我只確認它曾從側門騎過步行路段。
R:收到，我會按下午機車由側門沿步道騎到遊戲區外圍及行人避讓的觀察記下。</x:v>
      </x:c>
      <x:c r="E30" s="9" t="str"/>
      <x:c r="F30" s="9" t="str"/>
      <x:c r="G30" s="9" t="str"/>
      <x:c r="H30" s="9" t="str"/>
      <x:c r="I30" s="9" t="str"/>
      <x:c r="J30" s="9" t="str"/>
      <x:c r="K30" s="9" t="str"/>
      <x:c r="L30" s="9" t="str">
        <x:v>pending</x:v>
      </x:c>
      <x:c r="M30" s="9" t="str"/>
      <x:c r="N30" s="24" t="str">
        <x:v>revise</x:v>
      </x:c>
      <x:c r="O30" s="24" t="str">
        <x:v>機車沿側門到遊戲區外圍符合車輛進入家族；「東側、圍牆、彎道、遊戲區入口」多個相對錨點合併後可能過度定位。建議保留側入口與園內步行區即可。 特別確認：東側側門、圍牆彎道及遊戲區入口形成細緻方位組合，請人工判斷是否應概略化。 格式檢視：13 行、343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0" s="24" t="str">
        <x:v>是</x:v>
      </x:c>
      <x:c r="Q30" s="24" t="str">
        <x:v>中</x:v>
      </x:c>
    </x:row>
    <x:row r="31" ht="177" customHeight="1">
      <x:c r="A31" s="8" t="str">
        <x:v>TPE1999-V12-030</x:v>
      </x:c>
      <x:c r="B31" s="8" t="str">
        <x:v>一般公園綠地管理及設施維護（含車輛違規進入）</x:v>
      </x:c>
      <x:c r="C31" s="8" t="str">
        <x:v>FAM-PARK-VEHICLE-ENTRY</x:v>
      </x:c>
      <x:c r="D31" s="8" t="str">
        <x:v>R:您好，我是臺北市1999客服，請您說說需要記錄的情況。
L:南港區一座公園草地旁有一輛小貨車開進來，車輪越過步道邊緣後停在草地上，司機下車走進附近活動區。
R:您看到車子從哪裡進入？停下來時附近有活動或圍設嗎？
L:從東側入口旁的窄通道進來，沒有看到活動圍設或工作人員，車子到草地邊就轉上去，停在樹蔭附近。
R:大約什麼時間？您離開時車還在嗎？
L:下午三點左右看到，離開時它仍停著；我不知道後來何時離開，也沒有看到司機把車開出園區。
R:當時有行人或推車經過嗎？
L:有一位推車家長停下讓它先過，之後沿步道外側繞過去；我沒有檢查草皮狀況，主要是看到車輛進入。
R:車子是原本就在活動區旁，還是從入口一路開到草地？
L:是從入口進來，越過步道邊緣才停上草地，不是原本就停在活動區旁邊。
R:我會整理入口、行車路徑、停留時間和推車行人避讓的觀察，謝謝您。</x:v>
      </x:c>
      <x:c r="E31" s="9" t="str"/>
      <x:c r="F31" s="9" t="str"/>
      <x:c r="G31" s="9" t="str"/>
      <x:c r="H31" s="9" t="str"/>
      <x:c r="I31" s="9" t="str"/>
      <x:c r="J31" s="9" t="str"/>
      <x:c r="K31" s="9" t="str"/>
      <x:c r="L31" s="9" t="str">
        <x:v>pending</x:v>
      </x:c>
      <x:c r="M31" s="9" t="str"/>
      <x:c r="N31" s="24" t="str">
        <x:v>pass</x:v>
      </x:c>
      <x:c r="O31" s="24" t="str">
        <x:v>小貨車由入口越過步道邊緣進入草地，符合車輛進入家族；「東側窄道、樹蔭」細節未含具名地點，請人工留意定位密度。 特別確認：入口方向、窄通道與樹蔭停車位置都已交代；請人工確認是否可刪減次要定位資訊。 格式檢視：11 行、310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1" s="24" t="str">
        <x:v>是</x:v>
      </x:c>
      <x:c r="Q31" s="24" t="str">
        <x:v>中</x:v>
      </x:c>
    </x:row>
    <x:row r="32" ht="207" customHeight="1">
      <x:c r="A32" s="8" t="str">
        <x:v>TPE1999-V12-031</x:v>
      </x:c>
      <x:c r="B32" s="8" t="str">
        <x:v>垃圾車清運及服務事項</x:v>
      </x:c>
      <x:c r="C32" s="8" t="str">
        <x:v>FAM-WASTE-MISSED-STOP</x:v>
      </x:c>
      <x:c r="D32" s="8" t="str">
        <x:v>R:您好，這裡是1999。請問您想反映哪方面的情況？
L:大同區一處固定收運點昨晚沒有看到垃圾車來，我在平常等候的位置待了快半小時，附近也有幾位住戶一起等。
R:您大約幾點開始等？平常通常什麼時候會到？
L:昨晚七點十五分左右開始，等到七點四十五分。平時大約七點半會聽到音樂後停一下，昨天完全沒聽見。
R:您有看到車子從附近經過但沒停嗎？
L:沒有看到車，也沒看到它轉進巷子；我留在路邊觀察一陣子才回家，附近其他人也不確定是否只是延誤。
R:這個等候位置最近有變動嗎？
L:沒有，一直是住宅區巷口旁的空地邊，大家都在同一處交付；我住這裡一年多，過去沒遇過漏停。
R:您稍晚又經過時有看到停靠嗎？
L:晚一點經過仍沒看到車或停靠痕跡，也沒有收到時間調整的通知。
R:最近是否收到停靠時間變動的通知？
L:沒有收到通知，固定點和往常一樣；我也沒有看到道路封閉或大型活動，才想確認是否有漏停。
R:我會記下昨晚固定點未見車輛停靠、等候時段及平常到達時間，謝謝您。</x:v>
      </x:c>
      <x:c r="E32" s="9" t="str"/>
      <x:c r="F32" s="9" t="str"/>
      <x:c r="G32" s="9" t="str"/>
      <x:c r="H32" s="9" t="str"/>
      <x:c r="I32" s="9" t="str"/>
      <x:c r="J32" s="9" t="str"/>
      <x:c r="K32" s="9" t="str"/>
      <x:c r="L32" s="9" t="str">
        <x:v>pending</x:v>
      </x:c>
      <x:c r="M32" s="9" t="str"/>
      <x:c r="N32" s="24" t="str">
        <x:v>pass</x:v>
      </x:c>
      <x:c r="O32" s="24" t="str">
        <x:v>固定點未見垃圾車停靠，符合漏停家族；等候時間、平常習慣與是否見車都是同一服務問題的證據。  格式檢視：13 行、352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2" s="24" t="str">
        <x:v>否</x:v>
      </x:c>
      <x:c r="Q32" s="24" t="str">
        <x:v>高</x:v>
      </x:c>
    </x:row>
    <x:row r="33" ht="207" customHeight="1">
      <x:c r="A33" s="8" t="str">
        <x:v>TPE1999-V12-032</x:v>
      </x:c>
      <x:c r="B33" s="8" t="str">
        <x:v>垃圾車清運及服務事項</x:v>
      </x:c>
      <x:c r="C33" s="8" t="str">
        <x:v>FAM-WASTE-MISSED-STOP</x:v>
      </x:c>
      <x:c r="D33" s="8" t="str">
        <x:v>R:您好，請您先說說遇到的情況。
L:中山區一處市場附近的住家巷口，前天晚上垃圾車有經過但沒停，平常聽到音樂後會在巷口停一下。
R:當時車子有播放音樂或減速嗎？大概幾點？
L:晚上八點十分左右，音樂有放，車速慢了一點，但沿著主要道路繼續往前；我拿著垃圾袋在巷口等。
R:您在附近住多久了？以前會在同一個位置等嗎？
L:住了半年，平常都在這個巷口交，路線沒有變；前天是第一次遇到，隔天同一時段車又有停靠。
R:其他住戶當時也在等嗎？
L:旁邊有兩戶也在等，直到八點多才離開，大家都沒看到車停下來；我不確定那晚是漏過還是有臨時調整。
R:您說的位置是市場裡面還是住宅巷口？
L:是在市場外圍的住家巷口，不在市場內；車子從南側方向經過後繼續往前。
R:隔天停靠時，您有看到車子在原位置停留嗎？
L:有，隔天同一個巷口有停，交付位置也沒變；只有前天那次音樂響過後車子沒有停下。
R:收到，我會描述車輛播放音樂、減速經過但未停，以及當晚等候時間。</x:v>
      </x:c>
      <x:c r="E33" s="9" t="str"/>
      <x:c r="F33" s="9" t="str"/>
      <x:c r="G33" s="9" t="str"/>
      <x:c r="H33" s="9" t="str"/>
      <x:c r="I33" s="9" t="str"/>
      <x:c r="J33" s="9" t="str"/>
      <x:c r="K33" s="9" t="str"/>
      <x:c r="L33" s="9" t="str">
        <x:v>pending</x:v>
      </x:c>
      <x:c r="M33" s="9" t="str"/>
      <x:c r="N33" s="24" t="str">
        <x:v>pass</x:v>
      </x:c>
      <x:c r="O33" s="24" t="str">
        <x:v>車輛經過但未在原固定點停靠，符合漏停家族；隔日恢復停靠是用來界定當次異常，沒有第二主訴。  格式檢視：13 行、342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3" s="24" t="str">
        <x:v>否</x:v>
      </x:c>
      <x:c r="Q33" s="24" t="str">
        <x:v>高</x:v>
      </x:c>
    </x:row>
    <x:row r="34" ht="207" customHeight="1">
      <x:c r="A34" s="8" t="str">
        <x:v>TPE1999-V12-033</x:v>
      </x:c>
      <x:c r="B34" s="8" t="str">
        <x:v>垃圾車清運及服務事項</x:v>
      </x:c>
      <x:c r="C34" s="8" t="str">
        <x:v>FAM-WASTE-ALLEY-ACCESS</x:v>
      </x:c>
      <x:c r="D34" s="8" t="str">
        <x:v>R:您好，您可以先告訴我發生什麼事嗎？
L:文山區一條住宅短巷裡，垃圾車最近兩次到巷口就折回，沒進到中段，住在裡面的居民不確定要在哪裡等。
R:兩次大約是什麼時候？車輛到入口後有沒有停留？
L:上週二和昨晚大約七點，音樂有播放，車到入口停了幾秒就往回走，沒有開到裡面的彎道附近。
R:過去收運時會開進巷子嗎？
L:前幾個月通常會走到中段，最近兩次都只到入口；巷子不到百公尺，但最裡面還有一個轉彎。
R:巷內住戶現在怎麼知道車子來了？
L:裡面的人聽到音樂才往外走，出來時車已離開，只能互相提醒；入口看不到彎道後的住戶門口。
R:這兩次都沒有看到車停在巷內其他位置嗎？
L:沒有，只在巷口短暫停過。以前音樂會一路聽到中段，最近走到轉角就聽不到了。
R:巷口是否有臨時施工或車輛無法進入？
L:我沒看到施工或障礙物，入口仍可通行；不過我只從住家附近觀察，沒有跟著車查看。
R:我會整理車輛近兩次只到入口、過去會進入中段及住戶等候受影響的情況。</x:v>
      </x:c>
      <x:c r="E34" s="9" t="str"/>
      <x:c r="F34" s="9" t="str"/>
      <x:c r="G34" s="9" t="str"/>
      <x:c r="H34" s="9" t="str"/>
      <x:c r="I34" s="9" t="str"/>
      <x:c r="J34" s="9" t="str"/>
      <x:c r="K34" s="9" t="str"/>
      <x:c r="L34" s="9" t="str">
        <x:v>pending</x:v>
      </x:c>
      <x:c r="M34" s="9" t="str"/>
      <x:c r="N34" s="24" t="str">
        <x:v>pass</x:v>
      </x:c>
      <x:c r="O34" s="24" t="str">
        <x:v>車輛到巷口折返、未進入原收運路段，符合巷內服務未進入；沒有推測司機原因。 特別確認：與 V12-034 同家族，皆沿「到達頻率—過去路線—住戶等候」追問，請人工確認批次問答順序變化是否足夠。 格式檢視：13 行、347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4" s="24" t="str">
        <x:v>是</x:v>
      </x:c>
      <x:c r="Q34" s="24" t="str">
        <x:v>中</x:v>
      </x:c>
    </x:row>
    <x:row r="35" ht="177" customHeight="1">
      <x:c r="A35" s="8" t="str">
        <x:v>TPE1999-V12-034</x:v>
      </x:c>
      <x:c r="B35" s="8" t="str">
        <x:v>垃圾車清運及服務事項</x:v>
      </x:c>
      <x:c r="C35" s="8" t="str">
        <x:v>FAM-WASTE-ALLEY-ACCESS</x:v>
      </x:c>
      <x:c r="D35" s="8" t="str">
        <x:v>R:您好，這裡是1999客服，請問您有什麼需要協助？
L:萬華區一條住宅巷裡的收運車最近只在巷口停一下就離開，我住在巷子較裡面，常走到外面時已經看不到車。
R:最近幾晚都發生嗎？您從家裡走到巷口大約多久？
L:連續三個晚上都只聽到入口那邊的音樂，走到轉彎處大概要五分鐘，出來時車已經離開。
R:之前車子會開進巷子多遠？現在有沒有看到它折返？
L:前一陣子會一路進到中段，最近聽到的音樂只在巷口附近停留幾十秒，我沒親眼看到車子折回。
R:附近其他住戶也遇到來不及出來嗎？
L:有幾位住戶也說沒碰到車；我想確認目前是否還會進到巷子裡，否則大家不知道該在哪裡等。
R:巷內有沒有轉彎或遮蔽物讓入口看不到裡面？
L:中段還要再轉一次彎，從外面看不到裡面的房子；以前可以一路聽到音樂，現在很快就聽不到。
R:我會把巷口短停、巷內住戶不易趕到的觀察記錄下來。</x:v>
      </x:c>
      <x:c r="E35" s="9" t="str"/>
      <x:c r="F35" s="9" t="str"/>
      <x:c r="G35" s="9" t="str"/>
      <x:c r="H35" s="9" t="str"/>
      <x:c r="I35" s="9" t="str"/>
      <x:c r="J35" s="9" t="str"/>
      <x:c r="K35" s="9" t="str"/>
      <x:c r="L35" s="9" t="str">
        <x:v>pending</x:v>
      </x:c>
      <x:c r="M35" s="9" t="str"/>
      <x:c r="N35" s="24" t="str">
        <x:v>pass</x:v>
      </x:c>
      <x:c r="O35" s="24" t="str">
        <x:v>連續幾晚只聽到入口訊號、住戶趕到時車已離開，仍是巷內路段服務可及性問題；與上一筆同家族但情節和追問有差異。 特別確認：與 V12-033 同家族且追問順序相近，建議人工檢視是否要再調整問法或來電者補充節奏。 格式檢視：11 行、310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5" s="24" t="str">
        <x:v>是</x:v>
      </x:c>
      <x:c r="Q35" s="24" t="str">
        <x:v>中</x:v>
      </x:c>
    </x:row>
    <x:row r="36" ht="192" customHeight="1">
      <x:c r="A36" s="8" t="str">
        <x:v>TPE1999-V12-035</x:v>
      </x:c>
      <x:c r="B36" s="8" t="str">
        <x:v>垃圾車清運及服務事項</x:v>
      </x:c>
      <x:c r="C36" s="8" t="str">
        <x:v>FAM-WASTE-ARRIVAL-TIME</x:v>
      </x:c>
      <x:c r="D36" s="8" t="str">
        <x:v>R:您好，請先說明您想確認的事情。
L:中正區一個固定停靠點的垃圾車最近提早很多，原本晚上七點左右才到，這幾天晚上五點多就經過，我回家時常已經錯過。
R:這幾天大約幾點看到？平常到站時間約為何？
L:週一到週四約晚上五點二十分到五點半；平常大概晚上七點十分，我聽到音樂才下樓。
R:您今天有提早到等候嗎？車子有沒有再經過？
L:今天晚上五點四十分到，還是沒遇到；從辦公室回來需要四十多分鐘，車子若提早一個多小時就很難趕上。
R:這個停靠點有搬動或路線改變嗎？
L:位置沒有變，車子還是從同一方向過來；只是這週時間提前，鄰居昨天也說沒趕上。
R:您是希望確認目前大約的到達時段嗎？
L:是，希望知道最近是否有固定的新時段。我今天到場時車已經離開，星期一到四看到的時間都差不多。
R:我會按固定停靠點近期提早到達、觀察日期與時段整理您的情況。</x:v>
      </x:c>
      <x:c r="E36" s="9" t="str"/>
      <x:c r="F36" s="9" t="str"/>
      <x:c r="G36" s="9" t="str"/>
      <x:c r="H36" s="9" t="str"/>
      <x:c r="I36" s="9" t="str"/>
      <x:c r="J36" s="9" t="str"/>
      <x:c r="K36" s="9" t="str"/>
      <x:c r="L36" s="9" t="str">
        <x:v>pending</x:v>
      </x:c>
      <x:c r="M36" s="9" t="str"/>
      <x:c r="N36" s="24" t="str">
        <x:v>pass</x:v>
      </x:c>
      <x:c r="O36" s="24" t="str">
        <x:v>固定停靠點近期提早到達，符合到達時段變化；時段和返家延誤共同支持單一主訴。  格式檢視：11 行、308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6" s="24" t="str">
        <x:v>否</x:v>
      </x:c>
      <x:c r="Q36" s="24" t="str">
        <x:v>高</x:v>
      </x:c>
    </x:row>
    <x:row r="37" ht="207" customHeight="1">
      <x:c r="A37" s="8" t="str">
        <x:v>TPE1999-V12-036</x:v>
      </x:c>
      <x:c r="B37" s="8" t="str">
        <x:v>垃圾車清運及服務事項</x:v>
      </x:c>
      <x:c r="C37" s="8" t="str">
        <x:v>FAM-WASTE-ARRIVAL-TIME</x:v>
      </x:c>
      <x:c r="D37" s="8" t="str">
        <x:v>R:您好，請問您希望了解哪方面的情況？
L:大安區同一處停靠點的垃圾車每天到達時間差很多，有時晚上六點多，有時晚上快八點；家人行動不方便，常不知道何時下樓。
R:停靠位置有改變嗎？您記錄的最早和最晚時間各是什麼？
L:位置一直沒變，都是晚上來。過去一個月最早晚上六點十五分，最晚有一次晚上七點五十分，都是我看時鐘記下來的。
R:家人通常需要提前多久準備？等太久會有什麼不便？
L:我得先陪家人下樓，等久了又帶他上去休息；若車子晚上六點多來，要早點準備，接近八點才來又得等很久。
R:最近幾天也有這種差異嗎？您記得幾次時間？
L:上週三晚上六點二十分、週四晚上七點四十分，昨天晚上大約六點五十五分；這些都是晚間觀察，沒有早上時段。
R:您想確認的是固定停靠點的到達時段是否有調整？
L:對，停靠點和來車方向都一樣，只是晚上時間不固定；若有大概時段，家人比較好安排下樓。
R:我會把這些晚間到達時間及陪同等候的需要一併記錄，謝謝您。</x:v>
      </x:c>
      <x:c r="E37" s="9" t="str"/>
      <x:c r="F37" s="9" t="str"/>
      <x:c r="G37" s="9" t="str"/>
      <x:c r="H37" s="9" t="str"/>
      <x:c r="I37" s="9" t="str"/>
      <x:c r="J37" s="9" t="str"/>
      <x:c r="K37" s="9" t="str"/>
      <x:c r="L37" s="9" t="str">
        <x:v>pending</x:v>
      </x:c>
      <x:c r="M37" s="9" t="str"/>
      <x:c r="N37" s="24" t="str">
        <x:v>pass</x:v>
      </x:c>
      <x:c r="O37" s="24" t="str">
        <x:v>六點多至近八點均明確是晚間，時序一致；固定點未變，分類符合到達時間波動。 特別確認：時間問題的追問流程與 V12-035 同家族紀錄相近；文字時序本身一致，請人工評估對話模板變化。 格式檢視：11 行、346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7" s="24" t="str">
        <x:v>是</x:v>
      </x:c>
      <x:c r="Q37" s="24" t="str">
        <x:v>中</x:v>
      </x:c>
    </x:row>
    <x:row r="38" ht="177" customHeight="1">
      <x:c r="A38" s="8" t="str">
        <x:v>TPE1999-V12-037</x:v>
      </x:c>
      <x:c r="B38" s="8" t="str">
        <x:v>垃圾車清運及服務事項</x:v>
      </x:c>
      <x:c r="C38" s="8" t="str">
        <x:v>FAM-WASTE-STOP-LOCATION</x:v>
      </x:c>
      <x:c r="D38" s="8" t="str">
        <x:v>R:您好，請告訴我您需要協助確認什麼？
L:我剛搬到松山區一個住宅社區附近，不確定晚間要在哪裡等垃圾車；巷道有好幾個出口，只聽到音樂從遠處經過。
R:您住處附近有哪些出口？聽到聲音時大約從哪個方向來？
L:社區中間走出去有一條小巷，聲音像從西邊來、往東邊遠去，但我不確定該到哪個出口等。
R:您昨天在哪裡等候？有沒有看到車停靠？
L:我在最近的巷口等，聽到音樂從另一方向傳來，沒有看見車子停下；附近有個社區活動空間，後方另有兩個出口。
R:您主要想確認等候點，還是想反映車輛路線？
L:先確認應該在哪一個出口等，不是要調整路線；我住得比較靠近後方那個出口，昨晚沒有看到車停靠。
R:附近其他住戶有告訴您固定等候位置嗎？
L:目前說法不一，有人等主要道路旁，也有人留在社區出口，我才剛搬來，還沒確認哪一處才是平常停靠點。
R:了解，我會記下社區出口辨認不易及您想確認的等候位置。</x:v>
      </x:c>
      <x:c r="E38" s="9" t="str"/>
      <x:c r="F38" s="9" t="str"/>
      <x:c r="G38" s="9" t="str"/>
      <x:c r="H38" s="9" t="str"/>
      <x:c r="I38" s="9" t="str"/>
      <x:c r="J38" s="9" t="str"/>
      <x:c r="K38" s="9" t="str"/>
      <x:c r="L38" s="9" t="str">
        <x:v>pending</x:v>
      </x:c>
      <x:c r="M38" s="9" t="str"/>
      <x:c r="N38" s="24" t="str">
        <x:v>pass</x:v>
      </x:c>
      <x:c r="O38" s="24" t="str">
        <x:v>新住戶不確定多個出口中的等候點，符合停靠位置詢問；問題沒有要求確認分類規則或改路線。 特別確認：多出口、方向及社區空間線索是問題本身需要的資訊，但請人工確認沒有多到形成精確位置組合。 格式檢視：11 行、323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8" s="24" t="str">
        <x:v>是</x:v>
      </x:c>
      <x:c r="Q38" s="24" t="str">
        <x:v>中</x:v>
      </x:c>
    </x:row>
    <x:row r="39" ht="207" customHeight="1">
      <x:c r="A39" s="8" t="str">
        <x:v>TPE1999-V12-038</x:v>
      </x:c>
      <x:c r="B39" s="8" t="str">
        <x:v>垃圾車清運及服務事項</x:v>
      </x:c>
      <x:c r="C39" s="8" t="str">
        <x:v>FAM-WASTE-STOP-LOCATION</x:v>
      </x:c>
      <x:c r="D39" s="8" t="str">
        <x:v>R:您好，請您先說說遇到的情況。
L:信義區一個市場外圍的固定等候點，最近幾次看到垃圾車停到另一個巷口，住戶有人往前走，有人還留在原地。
R:您以前在哪一側等？這週看到車停在哪個相對位置？
L:以前大家在市場南側入口附近等，這週兩次看到車停在北側小巷口，比原來的位置多走一段路。
R:當時您有聽到音樂或看清車輛嗎？
L:音樂都有放，但我在南側看不清楚車身，走過去時車已離開；幾位住戶還留在原來入口等。
R:是否有人通知停靠位置調整？
L:沒有收到通知，也不確定北側是臨時停一下還是之後固定停靠；原本南側位置大家比較熟悉。
R:您看到新位置是在市場內還是外圍巷口？
L:在市場北側外圍的小巷口，不在市場裡；這週兩次都只短暫停留，南側仍有人等候。
R:這兩次新位置的方向都相同嗎？
L:都是市場外圍北側的小巷口，停留時間不長；我只在南側聽到音樂後才往那邊走。
R:我會整理原等候點與近期看到的新停靠位置，供後續確認，謝謝您。</x:v>
      </x:c>
      <x:c r="E39" s="9" t="str"/>
      <x:c r="F39" s="9" t="str"/>
      <x:c r="G39" s="9" t="str"/>
      <x:c r="H39" s="9" t="str"/>
      <x:c r="I39" s="9" t="str"/>
      <x:c r="J39" s="9" t="str"/>
      <x:c r="K39" s="9" t="str"/>
      <x:c r="L39" s="9" t="str">
        <x:v>pending</x:v>
      </x:c>
      <x:c r="M39" s="9" t="str"/>
      <x:c r="N39" s="24" t="str">
        <x:v>pass</x:v>
      </x:c>
      <x:c r="O39" s="24" t="str">
        <x:v>既有等候點與近期看見的新位置有相對差異，符合停靠位置變動；南北方向仍是概略方位，未見門牌。 特別確認：南北側入口、新舊等候點及步行距離資訊較密，請人工確認位置精度與家族邊界。 格式檢視：13 行、340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39" s="24" t="str">
        <x:v>是</x:v>
      </x:c>
      <x:c r="Q39" s="24" t="str">
        <x:v>中</x:v>
      </x:c>
    </x:row>
    <x:row r="40" ht="177" customHeight="1">
      <x:c r="A40" s="8" t="str">
        <x:v>TPE1999-V12-039</x:v>
      </x:c>
      <x:c r="B40" s="8" t="str">
        <x:v>垃圾車清運及服務事項</x:v>
      </x:c>
      <x:c r="C40" s="8" t="str">
        <x:v>FAM-WASTE-WEEKEND-SCHEDULE</x:v>
      </x:c>
      <x:c r="D40" s="8" t="str">
        <x:v>R:您好，想請問您需要確認哪件事？
L:我住在北投區一處住宅與商業混合區，想問週日是否也有固定收運時段，家人週末才有空陪我下樓等。
R:平日您通常在哪裡交付？週日曾經看過車經過嗎？
L:平日是在熟悉的轉角等，週日以前沒有遇到車；上個月有一次傍晚去等了二十多分鐘，也沒看到車。
R:您是想確認週日有沒有服務，還是想詢問其他位置？
L:主要想知道週日是否收運，以及時間是否和週間不同；我目前沒有要改交付地點。
R:附近住戶對週末班次有掌握嗎？
L:大家說法不一，有人猜週末可能沒有，但都不確定。家人通常只能週日下午陪我搬下樓，希望不要白等。
R:您希望以目前熟悉的停靠點為準確認嗎？
L:是，位置仍是平日的住宅區轉角；我只想知道週日是否有車及大概時段，不需要更改位置。
R:我會按週日服務與時間的疑問記錄，謝謝您說明家人陪同安排。</x:v>
      </x:c>
      <x:c r="E40" s="9" t="str"/>
      <x:c r="F40" s="9" t="str"/>
      <x:c r="G40" s="9" t="str"/>
      <x:c r="H40" s="9" t="str"/>
      <x:c r="I40" s="9" t="str"/>
      <x:c r="J40" s="9" t="str"/>
      <x:c r="K40" s="9" t="str"/>
      <x:c r="L40" s="9" t="str">
        <x:v>pending</x:v>
      </x:c>
      <x:c r="M40" s="9" t="str"/>
      <x:c r="N40" s="24" t="str">
        <x:v>pass</x:v>
      </x:c>
      <x:c r="O40" s="24" t="str">
        <x:v>詢問週日收運與時段，符合週末安排家族；客服僅記錄問題，沒有提供未查證的時刻表答案。  格式檢視：11 行、302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0" s="24" t="str">
        <x:v>否</x:v>
      </x:c>
      <x:c r="Q40" s="24" t="str">
        <x:v>高</x:v>
      </x:c>
    </x:row>
    <x:row r="41" ht="207" customHeight="1">
      <x:c r="A41" s="8" t="str">
        <x:v>TPE1999-V12-040</x:v>
      </x:c>
      <x:c r="B41" s="8" t="str">
        <x:v>垃圾車清運及服務事項</x:v>
      </x:c>
      <x:c r="C41" s="8" t="str">
        <x:v>FAM-WASTE-WEEKEND-SCHEDULE</x:v>
      </x:c>
      <x:c r="D41" s="8" t="str">
        <x:v>R:您好，您想確認什麼事項？我來協助記錄。
L:我想確認週六晚上的垃圾車時間。輪班後我只有週末在家，不確定週六是不是同一班車，或會不會比平日晚一些。
R:您平常在哪個區域等候？上週六有沒有實際等過？
L:在中山區一處住宅巷口，平日晚間大約七點半會經過；上週六我到同一處等了半小時，沒有遇到車。
R:那天您大約幾點開始等？有聽到音樂嗎？
L:晚上六點五十分左右下樓，等到七點二十，附近沒有聽到音樂，也沒看到車子從旁邊經過。
R:停靠位置或平日班次最近有改變嗎？
L:位置一直是平常那個巷口，平日時間也沒變；只是輪班後我只能週六等，不知道週末是否另有安排。
R:您確認的是週六晚間，而不是週日對嗎？
L:對，是週六晚上；若時段不同我可以提早安排，停靠點仍是原來的住宅巷口。
R:您最近平日晚間仍能在原地遇到車嗎？
L:可以，平日大約七點半仍會停靠；目前只是週六晚間沒遇到，所以想確認假日安排。
R:明白，我會記下週六晚間班次與平日時間是否不同的詢問。</x:v>
      </x:c>
      <x:c r="E41" s="9" t="str"/>
      <x:c r="F41" s="9" t="str"/>
      <x:c r="G41" s="9" t="str"/>
      <x:c r="H41" s="9" t="str"/>
      <x:c r="I41" s="9" t="str"/>
      <x:c r="J41" s="9" t="str"/>
      <x:c r="K41" s="9" t="str"/>
      <x:c r="L41" s="9" t="str">
        <x:v>pending</x:v>
      </x:c>
      <x:c r="M41" s="9" t="str"/>
      <x:c r="N41" s="24" t="str">
        <x:v>pass</x:v>
      </x:c>
      <x:c r="O41" s="24" t="str">
        <x:v>詢問週六晚間班次是否與平日不同，符合週末服務安排；當日未見車只是背景，不構成另一案件。  格式檢視：13 行、348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1" s="24" t="str">
        <x:v>否</x:v>
      </x:c>
      <x:c r="Q41" s="24" t="str">
        <x:v>高</x:v>
      </x:c>
    </x:row>
    <x:row r="42" ht="192" customHeight="1">
      <x:c r="A42" s="8" t="str">
        <x:v>TPE1999-V12-041</x:v>
      </x:c>
      <x:c r="B42" s="8" t="str">
        <x:v>路面清潔（含行人果皮箱、菸蒂、狗便）</x:v>
      </x:c>
      <x:c r="C42" s="8" t="str">
        <x:v>FAM-CLEAN-BIN-OVERFLOW</x:v>
      </x:c>
      <x:c r="D42" s="8" t="str">
        <x:v>R:您好，請問您想反映什麼情況？
L:中山區一處公園外側的行人果皮箱昨晚已經裝滿，杯子和紙盒堆到箱口，今早被風吹到人行道上，行人得稍微繞開。
R:箱子本身有破損或傾倒嗎？散落物大約到哪裡？
L:箱身和底座都完整，沒有倒；紙杯沿著步道往外約一兩公尺，還沒到車道，幾個杯子停在候車位置旁。
R:您什麼時候先注意到箱子滿了？
L:昨晚八點多經過時箱口已很滿，今早七點半再看，外面多了幾個杯子；附近昨晚人潮散去後狀況更明顯。
R:這是箱體容量問題，還是看起來有東西卡住？
L:像是容量滿了，箱身沒有裂，箱蓋也沒有損壞；紙屑被風帶到等車的人附近，可能會踩到。
R:目前散落物集中在哪個公共區域？
L:公園外側靠候車區的步道上，箱子在站牌後方，沒有散到車道；早上看到時還有幾個杯子留在旁邊。
R:我會記錄果皮箱容量已滿後外溢、箱體完整及行人繞行的情況。</x:v>
      </x:c>
      <x:c r="E42" s="9" t="str"/>
      <x:c r="F42" s="9" t="str"/>
      <x:c r="G42" s="9" t="str"/>
      <x:c r="H42" s="9" t="str"/>
      <x:c r="I42" s="9" t="str"/>
      <x:c r="J42" s="9" t="str"/>
      <x:c r="K42" s="9" t="str"/>
      <x:c r="L42" s="9" t="str">
        <x:v>pending</x:v>
      </x:c>
      <x:c r="M42" s="9" t="str"/>
      <x:c r="N42" s="24" t="str">
        <x:v>pass</x:v>
      </x:c>
      <x:c r="O42" s="24" t="str">
        <x:v>公共果皮箱滿溢後垃圾被風吹散，符合滿溢家族；箱體完整且道路範圍明確。 特別確認：與 V12-042 同為果皮箱滿溢，追問箱體、範圍、時間、通行影響的次序相近，請人工檢視差異是否足夠。 格式檢視：11 行、306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2" s="24" t="str">
        <x:v>是</x:v>
      </x:c>
      <x:c r="Q42" s="24" t="str">
        <x:v>中</x:v>
      </x:c>
    </x:row>
    <x:row r="43" ht="207" customHeight="1">
      <x:c r="A43" s="8" t="str">
        <x:v>TPE1999-V12-042</x:v>
      </x:c>
      <x:c r="B43" s="8" t="str">
        <x:v>路面清潔（含行人果皮箱、菸蒂、狗便）</x:v>
      </x:c>
      <x:c r="C43" s="8" t="str">
        <x:v>FAM-CLEAN-BIN-OVERFLOW</x:v>
      </x:c>
      <x:c r="D43" s="8" t="str">
        <x:v>R:您好，我是1999客服。您可以先說說看到的事嗎？
L:松山區市場外圍的一個行人果皮箱連續幾天很滿，今天早上餐盒和塑膠袋堆在箱邊，買菜的人要停一下再繞過。
R:垃圾主要在箱口上方還是已經落到地面？
L:昨天傍晚就高過箱口，今天早上又多了幾個餐盒，旁邊大約半個購物袋的量，沒有一路散到路口。
R:箱蓋或箱身看起來有損壞嗎？
L:箱身完整，蓋子只是被裡面的東西頂住，沒辦法闔好；不是箱子裂開，也沒看到被撞歪。
R:這幾天的堆積對通行有什麼影響？
L:推買菜車的人得從外緣繞，地面主要是紙盒和幾個塑膠袋；中午人多時市場外圍那一小段會更擠。
R:您能描述果皮箱相對市場的位置嗎？
L:在市場外側、靠另一個巷口方向的轉角，不在入口正前方；散落物集中在箱子旁邊，沒有看到液體。
R:箱子旁是否還有液體或異味？
L:我沒有看到液體，也沒有明顯異味；就是餐盒和塑膠袋逐日堆高，箱蓋被內容物頂住。
R:我會按連日容量滿溢、箱體正常及周邊通行受影響來整理。</x:v>
      </x:c>
      <x:c r="E43" s="9" t="str"/>
      <x:c r="F43" s="9" t="str"/>
      <x:c r="G43" s="9" t="str"/>
      <x:c r="H43" s="9" t="str"/>
      <x:c r="I43" s="9" t="str"/>
      <x:c r="J43" s="9" t="str"/>
      <x:c r="K43" s="9" t="str"/>
      <x:c r="L43" s="9" t="str">
        <x:v>pending</x:v>
      </x:c>
      <x:c r="M43" s="9" t="str"/>
      <x:c r="N43" s="24" t="str">
        <x:v>pass</x:v>
      </x:c>
      <x:c r="O43" s="24" t="str">
        <x:v>果皮箱連日滿溢、箱蓋被內容物頂住，符合容量問題而非箱體損壞；人流影響仍是同一清潔主訴。 特別確認：與 V12-041 同家族且採用類似的箱體／外溢／通行追問流程，請人工檢視對話節奏多樣性。 格式檢視：13 行、343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3" s="24" t="str">
        <x:v>是</x:v>
      </x:c>
      <x:c r="Q43" s="24" t="str">
        <x:v>中</x:v>
      </x:c>
    </x:row>
    <x:row r="44" ht="192" customHeight="1">
      <x:c r="A44" s="8" t="str">
        <x:v>TPE1999-V12-043</x:v>
      </x:c>
      <x:c r="B44" s="8" t="str">
        <x:v>路面清潔（含行人果皮箱、菸蒂、狗便）</x:v>
      </x:c>
      <x:c r="C44" s="8" t="str">
        <x:v>FAM-CLEAN-BIN-DAMAGE</x:v>
      </x:c>
      <x:c r="D44" s="8" t="str">
        <x:v>R:您好，請告訴我您需要協助記錄什麼？
L:大安區一處公車停靠區旁的行人果皮箱內桶像是歪了，紙杯從側縫漏出來；地上清掃後隔幾小時又看得到杯子和吸管。
R:漏出的東西在箱子的哪一側？箱蓋能否正常闔上？
L:朝步道的一面有縫，東西掉在行走方向右側，沒有滾到車道；箱蓋掀得起來，但放下後卡不緊。
R:您從箱口能看到什麼狀況？
L:往下看內桶斜靠在一邊，我只看到紙杯從側邊落出來，沒看到箱體外殼裂開，也沒有把垃圾放回去。
R:這個情形大約持續多久？清掃後還會再出現嗎？
L:三天前開始留意，昨天中午有人掃過，傍晚經過又有紙杯和吸管，今天早上仍在同一側。
R:散落物有沒有影響到候車或車道？
L:主要在箱子面向步道的右側，候車的人還能站開，沒有東西滾到車道；問題看起來集中在內桶歪斜。
R:我會記錄內桶偏斜、側縫漏出垃圾及清掃後再次出現的狀況。</x:v>
      </x:c>
      <x:c r="E44" s="9" t="str"/>
      <x:c r="F44" s="9" t="str"/>
      <x:c r="G44" s="9" t="str"/>
      <x:c r="H44" s="9" t="str"/>
      <x:c r="I44" s="9" t="str"/>
      <x:c r="J44" s="9" t="str"/>
      <x:c r="K44" s="9" t="str"/>
      <x:c r="L44" s="9" t="str">
        <x:v>pending</x:v>
      </x:c>
      <x:c r="M44" s="9" t="str"/>
      <x:c r="N44" s="24" t="str">
        <x:v>pass</x:v>
      </x:c>
      <x:c r="O44" s="24" t="str">
        <x:v>內桶歪斜與紙杯由側縫漏出，符合果皮箱部件異常；清掃後再出現是同一故障造成的髒污。  格式檢視：11 行、305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4" s="24" t="str">
        <x:v>否</x:v>
      </x:c>
      <x:c r="Q44" s="24" t="str">
        <x:v>高</x:v>
      </x:c>
    </x:row>
    <x:row r="45" ht="207" customHeight="1">
      <x:c r="A45" s="8" t="str">
        <x:v>TPE1999-V12-044</x:v>
      </x:c>
      <x:c r="B45" s="8" t="str">
        <x:v>路面清潔（含行人果皮箱、菸蒂、狗便）</x:v>
      </x:c>
      <x:c r="C45" s="8" t="str">
        <x:v>FAM-CLEAN-BIN-DAMAGE</x:v>
      </x:c>
      <x:c r="D45" s="8" t="str">
        <x:v>R:您好，這裡是臺北市1999客服。請問您想反映什麼？
L:中正區候車區附近的公共果皮箱箱蓋歪向一邊，闔不起來，紙巾和收據被風吹到周圍，地面常留著碎紙。
R:箱蓋還連在箱體上嗎？箱身有沒有傾倒？
L:蓋子還連著，左側連接處像是歪了，另一邊會翹起；箱身固定在原位，沒有倒，也沒看到大件垃圾溢出。
R:紙片通常會飄到多遠？清潔後多久又出現？
L:沿箱子外側到長椅前面約兩三步，早上掃過下午又有；今天一張收據吹到椅腳旁，行人會踩到。
R:風大時會從箱內飛出來嗎？
L:會，紙片是從蓋子沒闔緊的縫裡飛出，不是原本就散在地面；箱子沒有移位或翻倒。
R:周邊還有其他垃圾堆積嗎？
L:沒有，主要是細紙屑和收據，範圍在候車區旁的箱子周圍，沒有延伸到車道或整段步道。
R:您大約從什麼時候開始留意到箱蓋歪斜？
L:約一週前開始，這幾天風大時碎紙更容易飛出；箱體一直固定在原處，只有箱蓋無法闔緊。
R:收到，我會寫明箱蓋連接處歪斜、無法闔緊及紙屑受風吹散的情形。</x:v>
      </x:c>
      <x:c r="E45" s="9" t="str"/>
      <x:c r="F45" s="9" t="str"/>
      <x:c r="G45" s="9" t="str"/>
      <x:c r="H45" s="9" t="str"/>
      <x:c r="I45" s="9" t="str"/>
      <x:c r="J45" s="9" t="str"/>
      <x:c r="K45" s="9" t="str"/>
      <x:c r="L45" s="9" t="str">
        <x:v>pending</x:v>
      </x:c>
      <x:c r="M45" s="9" t="str"/>
      <x:c r="N45" s="24" t="str">
        <x:v>pass</x:v>
      </x:c>
      <x:c r="O45" s="24" t="str">
        <x:v>箱蓋歪斜導致紙屑外飛，符合箱體部件異常；候車區與長椅等錨點略多，仍沒有具名地址，建議抽查位置描述密度。 特別確認：箱蓋、候車區與周邊座椅等位置線索較多；另請和 V12-043 比較箱體故障對話是否過度套用同一流程。 格式檢視：13 行、341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5" s="24" t="str">
        <x:v>是</x:v>
      </x:c>
      <x:c r="Q45" s="24" t="str">
        <x:v>中</x:v>
      </x:c>
    </x:row>
    <x:row r="46" ht="192" customHeight="1">
      <x:c r="A46" s="8" t="str">
        <x:v>TPE1999-V12-045</x:v>
      </x:c>
      <x:c r="B46" s="8" t="str">
        <x:v>路面清潔（含行人果皮箱、菸蒂、狗便）</x:v>
      </x:c>
      <x:c r="C46" s="8" t="str">
        <x:v>FAM-CLEAN-CIGARETTE</x:v>
      </x:c>
      <x:c r="D46" s="8" t="str">
        <x:v>R:您好，您可以先說明要反映的情況。
L:中正區一處主要道路旁的公共人行面，每天早上都看到一小堆菸蒂集中在靠牆角落；掃掉後隔天又會出現，約持續一週。
R:大約有多少，範圍多大？附近其他地方也有嗎？
L:平日十幾個，週日多時約二十幾個，範圍不到一平方公尺；附近其他柱子下沒有看到，主要就是這個角落。
R:您通常什麼時候經過？地面上是散落還是集中成一堆？
L:早上七點多上班會看到，像是有人把菸蒂集中在牆邊，數量多時會散到旁邊一點，但不會到候車區中央。
R:昨天清理後今天又出現了嗎？
L:昨天中午地面很乾淨，今天早上又有一堆；沒有其他垃圾堆在旁邊，位置仍在同一面牆角附近。
R:這個角落靠近公共設施或人行通道哪一側？
L:在候車站牌後方、面向大路右側，離等車的人有一點距離，仍在人行通行面上。
R:我會按每天早上反覆出現、集中在牆角的菸蒂情形記錄。</x:v>
      </x:c>
      <x:c r="E46" s="9" t="str"/>
      <x:c r="F46" s="9" t="str"/>
      <x:c r="G46" s="9" t="str"/>
      <x:c r="H46" s="9" t="str"/>
      <x:c r="I46" s="9" t="str"/>
      <x:c r="J46" s="9" t="str"/>
      <x:c r="K46" s="9" t="str"/>
      <x:c r="L46" s="9" t="str">
        <x:v>pending</x:v>
      </x:c>
      <x:c r="M46" s="9" t="str"/>
      <x:c r="N46" s="24" t="str">
        <x:v>pass</x:v>
      </x:c>
      <x:c r="O46" s="24" t="str">
        <x:v>菸蒂在公共人行面固定角落反覆出現，符合菸蒂清潔家族；清掃與再出現是同一主訴。 特別確認：與 V12-046 同為反覆菸蒂清潔，兩筆都沿時間、數量、清掃後狀態追問，請人工確認對話差異。 格式檢視：11 行、309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6" s="24" t="str">
        <x:v>是</x:v>
      </x:c>
      <x:c r="Q46" s="24" t="str">
        <x:v>中</x:v>
      </x:c>
    </x:row>
    <x:row r="47" ht="207" customHeight="1">
      <x:c r="A47" s="8" t="str">
        <x:v>TPE1999-V12-046</x:v>
      </x:c>
      <x:c r="B47" s="8" t="str">
        <x:v>路面清潔（含行人果皮箱、菸蒂、狗便）</x:v>
      </x:c>
      <x:c r="C47" s="8" t="str">
        <x:v>FAM-CLEAN-CIGARETTE</x:v>
      </x:c>
      <x:c r="D47" s="8" t="str">
        <x:v>R:您好，請問您看到什麼需要協助記錄？
L:萬華區一條公共步行街靠店面騎樓外側，柱子旁地磚縫裡卡著不少菸蒂，清掃後表面少了些，縫內仍能看見。
R:菸蒂集中在一個位置嗎？大約有多少？
L:附近一根柱子周圍約兩步長，估計二十多個，有些在表面，有些已黑掉卡進縫裡；其他地方比較少。
R:這情形持續多久了？不同時段會有變化嗎？
L:約兩週，早上掃過後表面會少一些，傍晚人多時柱旁又增加；地磚縫裡留下的比較難清掉。
R:行人經過會踩到或被迫繞行嗎？
L:主要在柱子旁，不至於擋住整條步行街，但人多時會避開那一小段；沒有看到其他垃圾集中在附近。
R:位置是在店內還是公共通行空間？
L:在騎樓外側的公共步行面，靠近捷運出口方向的第一個轉角；我說的是柱子附近，不包括店面裡面。
R:地磚縫裡的菸蒂清掃後還在嗎？
L:還看得到，表面掃乾淨後，縫裡仍卡著一部分；傍晚又會增加一些新的菸蒂。
R:我會記錄地磚縫反覆留有菸蒂、清掃後仍可見的狀況。</x:v>
      </x:c>
      <x:c r="E47" s="9" t="str"/>
      <x:c r="F47" s="9" t="str"/>
      <x:c r="G47" s="9" t="str"/>
      <x:c r="H47" s="9" t="str"/>
      <x:c r="I47" s="9" t="str"/>
      <x:c r="J47" s="9" t="str"/>
      <x:c r="K47" s="9" t="str"/>
      <x:c r="L47" s="9" t="str">
        <x:v>pending</x:v>
      </x:c>
      <x:c r="M47" s="9" t="str"/>
      <x:c r="N47" s="24" t="str">
        <x:v>revise</x:v>
      </x:c>
      <x:c r="O47" s="24" t="str">
        <x:v>公共步行面縫隙有反覆菸蒂，標籤相符；「店面騎樓外側、捷運出口方向第一轉角、柱旁」組合較可定位，建議刪除捷運方向或精確轉角描述。 特別確認：與 V12-045 同家族且清潔追問節奏相近；另有店面、騎樓及捷運出口方向等定位錨點，建議人工抽查。 格式檢視：13 行、338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7" s="24" t="str">
        <x:v>是</x:v>
      </x:c>
      <x:c r="Q47" s="24" t="str">
        <x:v>中</x:v>
      </x:c>
    </x:row>
    <x:row r="48" ht="207" customHeight="1">
      <x:c r="A48" s="8" t="str">
        <x:v>TPE1999-V12-047</x:v>
      </x:c>
      <x:c r="B48" s="8" t="str">
        <x:v>路面清潔（含行人果皮箱、菸蒂、狗便）</x:v>
      </x:c>
      <x:c r="C48" s="8" t="str">
        <x:v>FAM-CLEAN-DOG-WASTE</x:v>
      </x:c>
      <x:c r="D48" s="8" t="str">
        <x:v>R:您好，請先告訴我需要記錄什麼事情。
L:士林區一處行人等候區旁，今天早上看到一處狗狗排泄物，靠近斜坡邊緣，輪椅靠近轉角時不太容易繞開。
R:您是在什麼時候看到？附近還有其他髒污嗎？
L:早上七點半經過才發現，昨晚走同一側時沒有；現在看來比較新，周圍沒有其他髒污或連續痕跡。
R:大約在斜坡的哪個位置？範圍多大？
L:面向行人穿越處時在右側坡口後面兩三步，約一個手掌大，位置貼近坡邊，不在整段步道中間。
R:行人要怎麼避開？
L:輪椅若靠建築側走會和行人擠在一起，往外繞又接近車道；我陪家人先停下，等人少才通過。
R:這是單一位置，還是沿路有多處？
L:目前只看到這一處，今天早上才注意到，其他轉角都乾淨；沒有沿著步道連續出現。
R:您離開前有看到其他人注意到嗎？
L:有行人經過時放慢腳步，但我沒有看到有人踩到；排泄物仍在斜坡邊，位置沒有移動。
R:我會記錄斜坡邊單一處排泄物及輪椅通行受影響的情況。</x:v>
      </x:c>
      <x:c r="E48" s="9" t="str"/>
      <x:c r="F48" s="9" t="str"/>
      <x:c r="G48" s="9" t="str"/>
      <x:c r="H48" s="9" t="str"/>
      <x:c r="I48" s="9" t="str"/>
      <x:c r="J48" s="9" t="str"/>
      <x:c r="K48" s="9" t="str"/>
      <x:c r="L48" s="9" t="str">
        <x:v>pending</x:v>
      </x:c>
      <x:c r="M48" s="9" t="str"/>
      <x:c r="N48" s="24" t="str">
        <x:v>pass</x:v>
      </x:c>
      <x:c r="O48" s="24" t="str">
        <x:v>斜坡邊單一處狗便造成避讓，符合狗便清潔家族；未把飼主稽查或斜坡鋪面另列問題。  格式檢視：13 行、329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8" s="24" t="str">
        <x:v>否</x:v>
      </x:c>
      <x:c r="Q48" s="24" t="str">
        <x:v>高</x:v>
      </x:c>
    </x:row>
    <x:row r="49" ht="192" customHeight="1">
      <x:c r="A49" s="8" t="str">
        <x:v>TPE1999-V12-048</x:v>
      </x:c>
      <x:c r="B49" s="8" t="str">
        <x:v>路面清潔（含行人果皮箱、菸蒂、狗便）</x:v>
      </x:c>
      <x:c r="C49" s="8" t="str">
        <x:v>FAM-CLEAN-DOG-WASTE</x:v>
      </x:c>
      <x:c r="D49" s="8" t="str">
        <x:v>R:您好，您可以先說說遇到的情況嗎？
L:南港區住宅區一處站牌後方的公共人行道，近幾天早上常看到幾處乾掉的狗狗排泄物痕跡，清掃後隔天仍會再出現。
R:大約沿著步道延伸多長？最近一次看到的是什麼時候？
L:從站牌背後沿圍牆約五六公尺，最遠到一盞路燈前；今天早上靠站牌的一端較多，另一端只有零星幾點。
R:這幾天分布都一樣嗎？清掃後還會再出現嗎？
L:不完全一樣，有時靠牆、有時接近步道中間；這週幾乎每天早上都看得到，清掃後隔天又有新的小點。
R:痕跡乾掉後容易辨認嗎？行人會怎麼通過？
L:乾的時候顏色淡不容易注意，潮濕時比較明顯；行人會沿外側避開，我沒看到某一個點一直沒有清理。
R:相較於轉角單一點位，這裡是怎樣的範圍？
L:是站牌後到路燈前這段步道內的多處痕跡，沒有固定在一個位置，也沒有延伸到車道。
R:我會把早上反覆出現、點位略有變化及大致範圍記錄下來。</x:v>
      </x:c>
      <x:c r="E49" s="9" t="str"/>
      <x:c r="F49" s="9" t="str"/>
      <x:c r="G49" s="9" t="str"/>
      <x:c r="H49" s="9" t="str"/>
      <x:c r="I49" s="9" t="str"/>
      <x:c r="J49" s="9" t="str"/>
      <x:c r="K49" s="9" t="str"/>
      <x:c r="L49" s="9" t="str">
        <x:v>pending</x:v>
      </x:c>
      <x:c r="M49" s="9" t="str"/>
      <x:c r="N49" s="24" t="str">
        <x:v>pass</x:v>
      </x:c>
      <x:c r="O49" s="24" t="str">
        <x:v>多個乾掉痕跡反覆出現仍屬公共路面狗便清潔；站牌、圍牆、路燈及五至六公尺範圍的組合較細，請人工確認是否要再概略化。 特別確認：站牌、圍牆、路燈及五至六公尺範圍構成較細位置組合；也請確認多處反覆痕跡仍符合既有狗便家族。 格式檢視：11 行、318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49" s="24" t="str">
        <x:v>是</x:v>
      </x:c>
      <x:c r="Q49" s="24" t="str">
        <x:v>中</x:v>
      </x:c>
    </x:row>
    <x:row r="50" ht="192" customHeight="1">
      <x:c r="A50" s="8" t="str">
        <x:v>TPE1999-V12-049</x:v>
      </x:c>
      <x:c r="B50" s="8" t="str">
        <x:v>路面清潔（含行人果皮箱、菸蒂、狗便）</x:v>
      </x:c>
      <x:c r="C50" s="8" t="str">
        <x:v>FAM-CLEAN-SURFACE-DEBRIS</x:v>
      </x:c>
      <x:c r="D50" s="8" t="str">
        <x:v>R:您好，請說明一下您想反映的狀況。
L:大安區一段公共人行道有飲料打翻留下的黏痕，昨晚剛打翻時還是濕的，今天早上雖然乾了，鞋底踩過仍會黏，推車輪也沾到糖水和杯蓋碎屑。
R:現在地面還有液體流動嗎？旁邊有沒有杯子或碎片？
L:沒有再流動，大部分已乾；邊緣有幾片杯蓋碎片和一小段吸管，沒有整杯留在那裡，也沒有流到車道。
R:您什麼時候第一次看到，乾掉後範圍有變嗎？
L:昨晚九點左右經過時還濕，今早七點多再看已經乾掉，橫向占了半條步道；黏痕還在，行人從旁邊繞。
R:這個位置是在店家範圍內還是公共通行面？
L:在公共座椅前的步行面，不在店家裡面；座椅就在附近，痕跡沒有延伸到車道或建築室內。
R:推車或行人目前會碰到黏痕嗎？
L:走步道中間會踩到，推車輪也沾黏；從座椅外側仍能通過，但要留意地上乾掉的痕跡。
R:我會按昨晚仍濕、今早已乾但持續黏著的時間順序及通行影響記錄。</x:v>
      </x:c>
      <x:c r="E50" s="9" t="str"/>
      <x:c r="F50" s="9" t="str"/>
      <x:c r="G50" s="9" t="str"/>
      <x:c r="H50" s="9" t="str"/>
      <x:c r="I50" s="9" t="str"/>
      <x:c r="J50" s="9" t="str"/>
      <x:c r="K50" s="9" t="str"/>
      <x:c r="L50" s="9" t="str">
        <x:v>pending</x:v>
      </x:c>
      <x:c r="M50" s="9" t="str"/>
      <x:c r="N50" s="24" t="str">
        <x:v>pass</x:v>
      </x:c>
      <x:c r="O50" s="24" t="str">
        <x:v>昨晚仍濕、今早乾掉但黏著的時間順序清楚；外來飲料殘留符合一般路面髒污，碎屑和黏痕是同一主訴。  格式檢視：11 行、320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50" s="24" t="str">
        <x:v>否</x:v>
      </x:c>
      <x:c r="Q50" s="24" t="str">
        <x:v>高</x:v>
      </x:c>
    </x:row>
    <x:row r="51" ht="192" customHeight="1">
      <x:c r="A51" s="8" t="str">
        <x:v>TPE1999-V12-050</x:v>
      </x:c>
      <x:c r="B51" s="8" t="str">
        <x:v>路面清潔（含行人果皮箱、菸蒂、狗便）</x:v>
      </x:c>
      <x:c r="C51" s="8" t="str">
        <x:v>FAM-CLEAN-SURFACE-DEBRIS</x:v>
      </x:c>
      <x:c r="D51" s="8" t="str">
        <x:v>R:您好，請您先描述要反映的事情。
L:內湖區一座公園界線外的公共步道角落堆了不少落葉和泥土，雨後濕葉貼在地上會滑；旁邊排水口沒有堵住，主要是步道表面需要清理。
R:這段步道在公園範圍內還是界線外？落葉靠哪一側？
L:在公園界線外的公共步道，沿著草地外緣內側堆積，沒有進到園內草坡；範圍約兩三步長。
R:落葉和泥土是最近才聚起來，還是一直都有？
L:上週幾天刮風後慢慢累積，昨天下雨把葉子壓成一層；泥土像是附著在落葉和鞋底留下的薄層，草地邊沒有缺口。
R:今天地面還濕滑嗎？旁邊排水狀況如何？
L:今早仍有一小段濕，排水口看起來通暢，沒有積水；靠草地一側能通行但比較窄，推車要慢慢通過。
R:乾掉後是否還留有泥印或其他障礙？
L:乾後仍有泥印，沒有其他散落物；堆積範圍沒超過彎道附近，問題在界線外的公共步道表面。
R:我會按公園界線外步道落葉泥土堆積、濕滑影響及排水正常的觀察整理。</x:v>
      </x:c>
      <x:c r="E51" s="9" t="str"/>
      <x:c r="F51" s="9" t="str"/>
      <x:c r="G51" s="9" t="str"/>
      <x:c r="H51" s="9" t="str"/>
      <x:c r="I51" s="9" t="str"/>
      <x:c r="J51" s="9" t="str"/>
      <x:c r="K51" s="9" t="str"/>
      <x:c r="L51" s="9" t="str">
        <x:v>pending</x:v>
      </x:c>
      <x:c r="M51" s="9" t="str"/>
      <x:c r="N51" s="24" t="str">
        <x:v>pass</x:v>
      </x:c>
      <x:c r="O51" s="24" t="str">
        <x:v>明確說明公園界線外的公共步道，路面落葉泥土與濕滑符合路面清潔；沒有捏造具名地點或把園內步道混入。  格式檢視：11 行、327 個中文字；R/L 交替。未見姓名、電話或門牌；首句由客服中性開場，來電者說明後才出現案件主題，客服只追問／記錄，未實質回答案件。跨筆相似檢視：全批集中於 11 或 13 行，開場及記錄式收尾相近，追問常沿範圍／影響／位置展開；未見高相似複製，但建議人工留意整批句型多樣性。</x:v>
      </x:c>
      <x:c r="P51" s="24" t="str">
        <x:v>否</x:v>
      </x:c>
      <x:c r="Q51" s="24" t="str">
        <x:v>高</x:v>
      </x:c>
    </x:row>
  </x:sheetData>
  <x:dataValidations count="10">
    <x:dataValidation type="list" sqref="E2:F51">
      <x:formula1>"是,否,不確定"</x:formula1>
    </x:dataValidation>
    <x:dataValidation type="list" sqref="G2:G51">
      <x:formula1>"連貫,需調整,不確定"</x:formula1>
    </x:dataValidation>
    <x:dataValidation type="list" sqref="H2:H51">
      <x:formula1>"自然,需調整,不確定"</x:formula1>
    </x:dataValidation>
    <x:dataValidation type="list" sqref="I2:I51">
      <x:formula1>"清楚,不清楚,不確定"</x:formula1>
    </x:dataValidation>
    <x:dataValidation type="list" sqref="J2:J51">
      <x:formula1>"有,無,不確定"</x:formula1>
    </x:dataValidation>
    <x:dataValidation type="list" sqref="K2:K51">
      <x:formula1>"是,否,不確定"</x:formula1>
    </x:dataValidation>
    <x:dataValidation type="list" sqref="L2:L51">
      <x:formula1>"pending,pass,revise,reject"</x:formula1>
    </x:dataValidation>
    <x:dataValidation type="list" sqref="N2:N51">
      <x:formula1>"pass,revise,reject"</x:formula1>
    </x:dataValidation>
    <x:dataValidation type="list" sqref="P2:P51">
      <x:formula1>"是,否"</x:formula1>
    </x:dataValidation>
    <x:dataValidation type="list" sqref="Q2:Q51">
      <x:formula1>"高,中,低"</x:formula1>
    </x:dataValidation>
  </x:dataValidations>
  <x:pageMargins left="0.7" right="0.7" top="0.75" bottom="0.75" header="0.3" footer="0.3"/>
  <x:tableParts count="1">
    <x:tablePart xmlns:r="http://schemas.openxmlformats.org/officeDocument/2006/relationships" r:id="Rdaba1c930e6f449f"/>
  </x:tableParts>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40" hidden="0" customWidth="1"/>
    <x:col min="2" max="2" width="20" hidden="0" customWidth="1"/>
    <x:col min="3" max="3" width="43" hidden="0" customWidth="1"/>
    <x:col min="4" max="4" width="62" hidden="0" customWidth="1"/>
    <x:col min="5" max="5" width="58" hidden="0" customWidth="1"/>
    <x:col min="6" max="6" width="78" hidden="0" customWidth="1"/>
    <x:col min="7" max="7" width="45" hidden="0" customWidth="1"/>
    <x:col min="8" max="8" width="78" hidden="0" customWidth="1"/>
    <x:col min="9" max="9" width="17" hidden="0" customWidth="1"/>
    <x:col min="10" max="10" width="50" hidden="0" customWidth="1"/>
    <x:col min="11" max="11" width="16" hidden="0" customWidth="1"/>
    <x:col min="12" max="12" width="74" hidden="0" customWidth="1"/>
    <x:col min="13" max="13" width="18" hidden="0" customWidth="1"/>
    <x:col min="14" max="14" width="12" hidden="0" customWidth="1"/>
    <x:col min="15" max="15" width="22" hidden="0" customWidth="1"/>
    <x:col min="16" max="16" width="72" hidden="0" customWidth="1"/>
  </x:cols>
  <x:sheetData>
    <x:row r="1" ht="15" hidden="0" customHeight="1">
      <x:c r="A1" s="6" t="str">
        <x:v>family_id</x:v>
      </x:c>
      <x:c r="B1" s="6" t="str">
        <x:v>家族狀態</x:v>
      </x:c>
      <x:c r="C1" s="6" t="str">
        <x:v>所屬類別</x:v>
      </x:c>
      <x:c r="D1" s="6" t="str">
        <x:v>情境說明</x:v>
      </x:c>
      <x:c r="E1" s="6" t="str">
        <x:v>可變化的對話要素</x:v>
      </x:c>
      <x:c r="F1" s="6" t="str">
        <x:v>納入與排除界線</x:v>
      </x:c>
      <x:c r="G1" s="6" t="str">
        <x:v>易混淆類別</x:v>
      </x:c>
      <x:c r="H1" s="6" t="str">
        <x:v>與既有家族的差異</x:v>
      </x:c>
      <x:c r="I1" s="6" t="str">
        <x:v>人工決定</x:v>
      </x:c>
      <x:c r="J1" s="6" t="str">
        <x:v>修改意見</x:v>
      </x:c>
      <x:c r="K1" s="20" t="str">
        <x:v>AI 建議</x:v>
      </x:c>
      <x:c r="L1" s="20" t="str">
        <x:v>AI 理由</x:v>
      </x:c>
      <x:c r="M1" s="20" t="str">
        <x:v>需人工特別確認</x:v>
      </x:c>
      <x:c r="N1" s="20" t="str">
        <x:v>信心</x:v>
      </x:c>
      <x:c r="O1" s="39" t="str">
        <x:v>第二次複核建議</x:v>
      </x:c>
      <x:c r="P1" s="39" t="str">
        <x:v>第二次複核理由</x:v>
      </x:c>
    </x:row>
    <x:row r="2" ht="15" hidden="0" customHeight="1">
      <x:c r="A2" s="8" t="str">
        <x:v>FAM-SW-TILE-MOVEMENT</x:v>
      </x:c>
      <x:c r="B2" s="8" t="str">
        <x:v>既有（26）</x:v>
      </x:c>
      <x:c r="C2" s="8" t="str">
        <x:v>人行道維護</x:v>
      </x:c>
      <x:c r="D2" s="8" t="str">
        <x:v>鋪面磚踩踏晃動、裂開或翹角。</x:v>
      </x:c>
      <x:c r="E2" s="8" t="str">
        <x:v>一片或連片、踩踏是否移動、碎屑與輪子卡滯。</x:v>
      </x:c>
      <x:c r="F2" s="8" t="str">
        <x:v>納入：鋪面磚踩踏晃動、裂開或翹角。
界線／排除：只談人行鋪面；車行道列道路不平，外物阻路不列鋪面維護。</x:v>
      </x:c>
      <x:c r="G2" s="8" t="str">
        <x:v>草案界線文字線索，待人工確認：道路凹陷、不平、有高低差</x:v>
      </x:c>
      <x:c r="H2" s="8" t="str">
        <x:v>既有家族，作為 taxonomy 基準；核對此描述是否與 taxonomy_v1.2.1.yaml 一致。</x:v>
      </x:c>
      <x:c r="I2" s="9" t="str">
        <x:v>pending</x:v>
      </x:c>
      <x:c r="J2" s="9" t="str"/>
      <x:c r="K2" s="24" t="str">
        <x:v>pass</x:v>
      </x:c>
      <x:c r="L2" s="24" t="str">
        <x:v>既有家族範圍清楚，晃動、裂損或翹角皆為磚體本身缺陷；可變化要素足以產生不同對話。</x:v>
      </x:c>
      <x:c r="M2" s="24" t="str">
        <x:v>否</x:v>
      </x:c>
      <x:c r="N2" s="24" t="str">
        <x:v>高</x:v>
      </x:c>
      <x:c r="O2" s="40" t="str">
        <x:v>pass</x:v>
      </x:c>
      <x:c r="P2" s="41" t="str">
        <x:v>既有家族依建議維持原定義。 保留原 ID 與情境核心，使用現有納入／排除界線。</x:v>
      </x:c>
    </x:row>
    <x:row r="3" ht="15" hidden="0" customHeight="1">
      <x:c r="A3" s="8" t="str">
        <x:v>FAM-SW-TACTILE-PAVING</x:v>
      </x:c>
      <x:c r="B3" s="8" t="str">
        <x:v>既有（26）</x:v>
      </x:c>
      <x:c r="C3" s="8" t="str">
        <x:v>人行道維護</x:v>
      </x:c>
      <x:c r="D3" s="8" t="str">
        <x:v>導盲磚缺段、破裂或翹起。</x:v>
      </x:c>
      <x:c r="E3" s="8" t="str">
        <x:v>中斷長度、導引或提醒功能、雨天辨識與行走影響。</x:v>
      </x:c>
      <x:c r="F3" s="8" t="str">
        <x:v>納入：導盲磚缺段、破裂或翹起。
界線／排除：磚體本身受損才屬本家族；被物品遮住屬占用／清除問題。</x:v>
      </x:c>
      <x:c r="G3" s="8" t="str">
        <x:v>草案未明示其他主類別；請人工確認</x:v>
      </x:c>
      <x:c r="H3" s="8" t="str">
        <x:v>既有家族，作為 taxonomy 基準；核對此描述是否與 taxonomy_v1.2.1.yaml 一致。</x:v>
      </x:c>
      <x:c r="I3" s="9" t="str">
        <x:v>pending</x:v>
      </x:c>
      <x:c r="J3" s="9" t="str"/>
      <x:c r="K3" s="24" t="str">
        <x:v>pass</x:v>
      </x:c>
      <x:c r="L3" s="24" t="str">
        <x:v>以導盲磚缺段或本體破損為核心，與外物遮擋有明確界線；可變化其導引／提醒功能。</x:v>
      </x:c>
      <x:c r="M3" s="24" t="str">
        <x:v>否</x:v>
      </x:c>
      <x:c r="N3" s="24" t="str">
        <x:v>高</x:v>
      </x:c>
      <x:c r="O3" s="40" t="str">
        <x:v>pass</x:v>
      </x:c>
      <x:c r="P3" s="41" t="str">
        <x:v>既有家族依建議維持原定義。 保留原 ID 與情境核心，使用現有納入／排除界線。</x:v>
      </x:c>
    </x:row>
    <x:row r="4" ht="15" hidden="0" customHeight="1">
      <x:c r="A4" s="8" t="str">
        <x:v>FAM-SW-RAMP-SURFACE</x:v>
      </x:c>
      <x:c r="B4" s="8" t="str">
        <x:v>既有（26）</x:v>
      </x:c>
      <x:c r="C4" s="8" t="str">
        <x:v>人行道維護</x:v>
      </x:c>
      <x:c r="D4" s="8" t="str">
        <x:v>人行坡道表面裂損或止滑磨耗。</x:v>
      </x:c>
      <x:c r="E4" s="8" t="str">
        <x:v>坡上／坡下、輪子卡滯、濕滑與止滑紋狀況。</x:v>
      </x:c>
      <x:c r="F4" s="8" t="str">
        <x:v>納入：人行坡道表面裂損或止滑磨耗。
界線／排除：限人行坡道表面；一般平面磨耗可列平面鋪面候選家族。</x:v>
      </x:c>
      <x:c r="G4" s="8" t="str">
        <x:v>草案未明示其他主類別；請人工確認</x:v>
      </x:c>
      <x:c r="H4" s="8" t="str">
        <x:v>既有家族，作為 taxonomy 基準；核對此描述是否與 taxonomy_v1.2.1.yaml 一致。</x:v>
      </x:c>
      <x:c r="I4" s="9" t="str">
        <x:v>pending</x:v>
      </x:c>
      <x:c r="J4" s="9" t="str"/>
      <x:c r="K4" s="24" t="str">
        <x:v>pass</x:v>
      </x:c>
      <x:c r="L4" s="24" t="str">
        <x:v>坡道表面裂損與止滑磨耗具相同通行面範圍，和一般平面磚、外來髒污可區分。</x:v>
      </x:c>
      <x:c r="M4" s="24" t="str">
        <x:v>否</x:v>
      </x:c>
      <x:c r="N4" s="24" t="str">
        <x:v>高</x:v>
      </x:c>
      <x:c r="O4" s="40" t="str">
        <x:v>pass</x:v>
      </x:c>
      <x:c r="P4" s="41" t="str">
        <x:v>既有家族依建議維持原定義。 保留原 ID 與情境核心，使用現有納入／排除界線。</x:v>
      </x:c>
    </x:row>
    <x:row r="5" ht="15" hidden="0" customHeight="1">
      <x:c r="A5" s="8" t="str">
        <x:v>FAM-SW-LEVEL-SETTLEMENT</x:v>
      </x:c>
      <x:c r="B5" s="8" t="str">
        <x:v>既有（26）</x:v>
      </x:c>
      <x:c r="C5" s="8" t="str">
        <x:v>人行道維護</x:v>
      </x:c>
      <x:c r="D5" s="8" t="str">
        <x:v>人行通行面沉陷或相鄰鋪面形成落差。</x:v>
      </x:c>
      <x:c r="E5" s="8" t="str">
        <x:v>凹陷範圍、雨後積水、不同方向通行感受。</x:v>
      </x:c>
      <x:c r="F5" s="8" t="str">
        <x:v>納入：人行通行面沉陷或相鄰鋪面形成落差。
界線／排除：若是車行表面列道路；若是坡道落地平台幾何問題，考慮坡道平台家族。</x:v>
      </x:c>
      <x:c r="G5" s="8" t="str">
        <x:v>草案界線文字線索，待人工確認：道路凹陷、不平、有高低差</x:v>
      </x:c>
      <x:c r="H5" s="8" t="str">
        <x:v>既有家族，作為 taxonomy 基準；核對此描述是否與 taxonomy_v1.2.1.yaml 一致。</x:v>
      </x:c>
      <x:c r="I5" s="9" t="str">
        <x:v>pending</x:v>
      </x:c>
      <x:c r="J5" s="9" t="str"/>
      <x:c r="K5" s="24" t="str">
        <x:v>pass</x:v>
      </x:c>
      <x:c r="L5" s="24" t="str">
        <x:v>人行面沉陷或接面落差是可辨識的鋪面失效；道路與坡道平台的界線已有提示。</x:v>
      </x:c>
      <x:c r="M5" s="24" t="str">
        <x:v>否</x:v>
      </x:c>
      <x:c r="N5" s="24" t="str">
        <x:v>高</x:v>
      </x:c>
      <x:c r="O5" s="40" t="str">
        <x:v>pass</x:v>
      </x:c>
      <x:c r="P5" s="41" t="str">
        <x:v>既有家族依建議維持原定義。 保留原 ID 與情境核心，使用現有納入／排除界線。</x:v>
      </x:c>
    </x:row>
    <x:row r="6" ht="15" hidden="0" customHeight="1">
      <x:c r="A6" s="8" t="str">
        <x:v>FAM-SW-CURB-EDGE</x:v>
      </x:c>
      <x:c r="B6" s="8" t="str">
        <x:v>既有（26）</x:v>
      </x:c>
      <x:c r="C6" s="8" t="str">
        <x:v>人行道維護</x:v>
      </x:c>
      <x:c r="D6" s="8" t="str">
        <x:v>人行道緣石本體裂損、鬆動或突出。</x:v>
      </x:c>
      <x:c r="E6" s="8" t="str">
        <x:v>石塊是否移位、尖角、行人或輪胎接觸。</x:v>
      </x:c>
      <x:c r="F6" s="8" t="str">
        <x:v>納入：人行道緣石本體裂損、鬆動或突出。
界線／排除：緣石本體為主訴；相鄰車行鋪面破損列道路。</x:v>
      </x:c>
      <x:c r="G6" s="8" t="str">
        <x:v>草案界線文字線索，待人工確認：道路凹陷、不平、有高低差</x:v>
      </x:c>
      <x:c r="H6" s="8" t="str">
        <x:v>既有家族，作為 taxonomy 基準；核對此描述是否與 taxonomy_v1.2.1.yaml 一致。</x:v>
      </x:c>
      <x:c r="I6" s="9" t="str">
        <x:v>pending</x:v>
      </x:c>
      <x:c r="J6" s="9" t="str"/>
      <x:c r="K6" s="24" t="str">
        <x:v>pass</x:v>
      </x:c>
      <x:c r="L6" s="24" t="str">
        <x:v>緣石本體裂損、鬆動或突出與旁側車道路面缺陷有清楚物件邊界。</x:v>
      </x:c>
      <x:c r="M6" s="24" t="str">
        <x:v>否</x:v>
      </x:c>
      <x:c r="N6" s="24" t="str">
        <x:v>高</x:v>
      </x:c>
      <x:c r="O6" s="40" t="str">
        <x:v>pass</x:v>
      </x:c>
      <x:c r="P6" s="41" t="str">
        <x:v>既有家族依建議維持原定義。 保留原 ID 與情境核心，使用現有納入／排除界線。</x:v>
      </x:c>
    </x:row>
    <x:row r="7" ht="26.399999618530273" hidden="0" customHeight="1">
      <x:c r="A7" s="8" t="str">
        <x:v>FAM-SW-CONCRETE-SPALLING</x:v>
      </x:c>
      <x:c r="B7" s="8" t="str">
        <x:v>新增候選（49）</x:v>
      </x:c>
      <x:c r="C7" s="8" t="str">
        <x:v>人行道維護</x:v>
      </x:c>
      <x:c r="D7" s="8" t="str">
        <x:v>整體混凝土人行面表層剝落、露出骨材，但不是單片磚鬆動。</x:v>
      </x:c>
      <x:c r="E7" s="8" t="str">
        <x:v>剝落層是否仍附著、粗糙範圍、是否有尖銳碎屑及輪椅通行影響。</x:v>
      </x:c>
      <x:c r="F7" s="8" t="str">
        <x:v>納入：整體混凝土人行面表層剝落、露出骨材，但不是單片磚鬆動。
界線／排除：與磚體移動／破裂區分；若是車道或施工中剝除面，排除本類。</x:v>
      </x:c>
      <x:c r="G7" s="8" t="str">
        <x:v>草案界線文字線索，待人工確認：道路凹陷、不平、有高低差</x:v>
      </x:c>
      <x:c r="H7" s="8" t="str">
        <x:v>草案區隔線索：與磚體移動／破裂區分；若是車道或施工中剝除面，排除本類。；候選與既有家族是否有實質差異，待人工判斷。</x:v>
      </x:c>
      <x:c r="I7" s="9" t="str">
        <x:v>pending</x:v>
      </x:c>
      <x:c r="J7" s="9" t="str"/>
      <x:c r="K7" s="24" t="str">
        <x:v>pass</x:v>
      </x:c>
      <x:c r="L7" s="24" t="str">
        <x:v>整片混凝土表層剝落可與單片地磚移動區分；需人工留意是否與一般鋪面剝落只按材質切分。</x:v>
      </x:c>
      <x:c r="M7" s="24" t="str">
        <x:v>是</x:v>
      </x:c>
      <x:c r="N7" s="24" t="str">
        <x:v>中</x:v>
      </x:c>
      <x:c r="O7" s="40" t="str">
        <x:v>pass</x:v>
      </x:c>
      <x:c r="P7" s="41" t="str">
        <x:v>情境核心「整體混凝土人行面表層剝落、露出骨材，但不是單片磚鬆動。」具可辨識案件差異，依建議保留。 保留原 ID 與情境核心，使用現有納入／排除界線。</x:v>
      </x:c>
    </x:row>
    <x:row r="8" ht="26.399999618530273" hidden="0" customHeight="1">
      <x:c r="A8" s="8" t="str">
        <x:v>FAM-SW-UTILITY-RESTORATION</x:v>
      </x:c>
      <x:c r="B8" s="8" t="str">
        <x:v>新增候選（49）</x:v>
      </x:c>
      <x:c r="C8" s="8" t="str">
        <x:v>人行道維護</x:v>
      </x:c>
      <x:c r="D8" s="8" t="str">
        <x:v>公共人行道管線開挖回填後，回復面下陷或接合不良。</x:v>
      </x:c>
      <x:c r="E8" s="8" t="str">
        <x:v>回填區輪廓、沉陷是否只在回填帶、輪子通過反應。</x:v>
      </x:c>
      <x:c r="F8" s="8" t="str">
        <x:v>納入：公共人行道管線開挖回填後，回復面下陷或接合不良。
界線／排除：主訴須是人行道表面；管線設備本身故障或車道回填列其他類。</x:v>
      </x:c>
      <x:c r="G8" s="8" t="str">
        <x:v>草案界線文字線索，待人工確認：道路凹陷、不平、有高低差</x:v>
      </x:c>
      <x:c r="H8" s="8" t="str">
        <x:v>草案區隔線索：主訴須是人行道表面；管線設備本身故障或車道回填列其他類。；候選與既有家族是否有實質差異，待人工判斷。</x:v>
      </x:c>
      <x:c r="I8" s="9" t="str">
        <x:v>pending</x:v>
      </x:c>
      <x:c r="J8" s="9" t="str"/>
      <x:c r="K8" s="24" t="str">
        <x:v>revise</x:v>
      </x:c>
      <x:c r="L8" s="24" t="str">
        <x:v>開挖回填後下陷的主訴仍是人行面沉陷，與既有 FAM-SW-LEVEL-SETTLEMENT、FAM-SW-SLAB-JOINT-GAP 有重疊；目前差異主要依成因，建議補充可觀察的回填帶特徵與可變化對話。</x:v>
      </x:c>
      <x:c r="M8" s="24" t="str">
        <x:v>是</x:v>
      </x:c>
      <x:c r="N8" s="24" t="str">
        <x:v>中</x:v>
      </x:c>
      <x:c r="O8" s="40" t="str">
        <x:v>revise</x:v>
      </x:c>
      <x:c r="P8" s="41" t="str">
        <x:v>核心可暫留，但邊界或納入條件需補明後再確認。 需有可辨識管線開挖回填；若只有一般沉陷，併入 FAM-SW-LEVEL-SETTLEMENT。</x:v>
      </x:c>
    </x:row>
    <x:row r="9" ht="26.399999618530273" hidden="0" customHeight="1">
      <x:c r="A9" s="8" t="str">
        <x:v>FAM-SW-SLAB-JOINT-GAP</x:v>
      </x:c>
      <x:c r="B9" s="8" t="str">
        <x:v>新增候選（49）</x:v>
      </x:c>
      <x:c r="C9" s="8" t="str">
        <x:v>人行道維護</x:v>
      </x:c>
      <x:c r="D9" s="8" t="str">
        <x:v>相鄰固定板塊接縫張開，形成窄縫而非大面積沉陷。</x:v>
      </x:c>
      <x:c r="E9" s="8" t="str">
        <x:v>縫寬、手杖／鞋跟／小輪卡入、接縫是否延長。</x:v>
      </x:c>
      <x:c r="F9" s="8" t="str">
        <x:v>納入：相鄰固定板塊接縫張開，形成窄縫而非大面積沉陷。
界線／排除：整片晃動歸鋪面磚家族；明顯垂直高差歸沉陷家族。</x:v>
      </x:c>
      <x:c r="G9" s="8" t="str">
        <x:v>草案未明示其他主類別；請人工確認</x:v>
      </x:c>
      <x:c r="H9" s="8" t="str">
        <x:v>草案區隔線索：整片晃動歸鋪面磚家族；明顯垂直高差歸沉陷家族。；候選與既有家族是否有實質差異，待人工判斷。</x:v>
      </x:c>
      <x:c r="I9" s="9" t="str">
        <x:v>pending</x:v>
      </x:c>
      <x:c r="J9" s="9" t="str"/>
      <x:c r="K9" s="24" t="str">
        <x:v>pass</x:v>
      </x:c>
      <x:c r="L9" s="24" t="str">
        <x:v>窄縫卡鞋跟或小輪與整片沉陷／晃動可操作區分；納入及排除條件已指出高差與整片晃動的分流。</x:v>
      </x:c>
      <x:c r="M9" s="24" t="str">
        <x:v>是</x:v>
      </x:c>
      <x:c r="N9" s="24" t="str">
        <x:v>中</x:v>
      </x:c>
      <x:c r="O9" s="40" t="str">
        <x:v>pass</x:v>
      </x:c>
      <x:c r="P9" s="41" t="str">
        <x:v>情境核心「相鄰固定板塊接縫張開，形成窄縫而非大面積沉陷。」具可辨識案件差異，依建議保留。 保留原 ID 與情境核心，使用現有納入／排除界線。</x:v>
      </x:c>
    </x:row>
    <x:row r="10" ht="26.399999618530273" hidden="0" customHeight="1">
      <x:c r="A10" s="8" t="str">
        <x:v>FAM-SW-CURB-RAMP-LANDING</x:v>
      </x:c>
      <x:c r="B10" s="8" t="str">
        <x:v>新增候選（49）</x:v>
      </x:c>
      <x:c r="C10" s="8" t="str">
        <x:v>人行道維護</x:v>
      </x:c>
      <x:c r="D10" s="8" t="str">
        <x:v>無障礙坡道頂端或平台本體不平，轉向或停留時不穩。</x:v>
      </x:c>
      <x:c r="E10" s="8" t="str">
        <x:v>平台坡向、轉彎空間、輪椅停留及接回人行面方式。</x:v>
      </x:c>
      <x:c r="F10" s="8" t="str">
        <x:v>納入：無障礙坡道頂端或平台本體不平，轉向或停留時不穩。
界線／排除：若是坡面表層磨耗歸坡道表面；行穿線內車道路面歸道路類。</x:v>
      </x:c>
      <x:c r="G10" s="8" t="str">
        <x:v>草案界線文字線索，待人工確認：道路凹陷、不平、有高低差</x:v>
      </x:c>
      <x:c r="H10" s="8" t="str">
        <x:v>草案區隔線索：若是坡面表層磨耗歸坡道表面；行穿線內車道路面歸道路類。；候選與既有家族是否有實質差異，待人工判斷。</x:v>
      </x:c>
      <x:c r="I10" s="9" t="str">
        <x:v>pending</x:v>
      </x:c>
      <x:c r="J10" s="9" t="str"/>
      <x:c r="K10" s="24" t="str">
        <x:v>revise</x:v>
      </x:c>
      <x:c r="L10" s="24" t="str">
        <x:v>坡道平台幾何／轉向問題可能只靠所在部位與坡面家族區分，也落入既有沉陷落差範圍；建議明確列出平台獨有的平面／坡向缺陷。</x:v>
      </x:c>
      <x:c r="M10" s="24" t="str">
        <x:v>是</x:v>
      </x:c>
      <x:c r="N10" s="24" t="str">
        <x:v>低</x:v>
      </x:c>
      <x:c r="O10" s="40" t="str">
        <x:v>revise</x:v>
      </x:c>
      <x:c r="P10" s="41" t="str">
        <x:v>核心可暫留，但邊界或納入條件需補明後再確認。 界定為坡道平台幾何／轉向問題，與一般鋪面高低差區分。</x:v>
      </x:c>
    </x:row>
    <x:row r="11" ht="26.399999618530273" hidden="0" customHeight="1">
      <x:c r="A11" s="8" t="str">
        <x:v>FAM-SW-TACTILE-ALIGNMENT</x:v>
      </x:c>
      <x:c r="B11" s="8" t="str">
        <x:v>新增候選（49）</x:v>
      </x:c>
      <x:c r="C11" s="8" t="str">
        <x:v>人行道維護</x:v>
      </x:c>
      <x:c r="D11" s="8" t="str">
        <x:v>導盲磚完整但排列方向或連續路徑在交界處錯接。</x:v>
      </x:c>
      <x:c r="E11" s="8" t="str">
        <x:v>使用者由哪方向接近、直行／轉向選擇、斷續位置。</x:v>
      </x:c>
      <x:c r="F11" s="8" t="str">
        <x:v>納入：導盲磚完整但排列方向或連續路徑在交界處錯接。
界線／排除：有裂損或缺磚歸導盲磚破損；被外物遮擋不歸此類。</x:v>
      </x:c>
      <x:c r="G11" s="8" t="str">
        <x:v>草案未明示其他主類別；請人工確認</x:v>
      </x:c>
      <x:c r="H11" s="8" t="str">
        <x:v>草案區隔線索：有裂損或缺磚歸導盲磚破損；被外物遮擋不歸此類。；候選與既有家族是否有實質差異，待人工判斷。</x:v>
      </x:c>
      <x:c r="I11" s="9" t="str">
        <x:v>pending</x:v>
      </x:c>
      <x:c r="J11" s="9" t="str"/>
      <x:c r="K11" s="24" t="str">
        <x:v>pass</x:v>
      </x:c>
      <x:c r="L11" s="24" t="str">
        <x:v>完整但方向錯接的導引路徑與實體缺磚不同，適合反覆變化使用者接近方向與路徑選擇。</x:v>
      </x:c>
      <x:c r="M11" s="24" t="str">
        <x:v>是</x:v>
      </x:c>
      <x:c r="N11" s="24" t="str">
        <x:v>中</x:v>
      </x:c>
      <x:c r="O11" s="40" t="str">
        <x:v>pass</x:v>
      </x:c>
      <x:c r="P11" s="41" t="str">
        <x:v>情境核心「導盲磚完整但排列方向或連續路徑在交界處錯接。」具可辨識案件差異，依建議保留。 保留原 ID 與情境核心，使用現有納入／排除界線。</x:v>
      </x:c>
    </x:row>
    <x:row r="12" ht="26.399999618530273" hidden="0" customHeight="1">
      <x:c r="A12" s="8" t="str">
        <x:v>FAM-SW-FLAT-SURFACE-SLIPPERY</x:v>
      </x:c>
      <x:c r="B12" s="8" t="str">
        <x:v>新增候選（49）</x:v>
      </x:c>
      <x:c r="C12" s="8" t="str">
        <x:v>人行道維護</x:v>
      </x:c>
      <x:c r="D12" s="8" t="str">
        <x:v>平坦公共人行鋪面長期磨光，乾濕轉換時摩擦不足。</x:v>
      </x:c>
      <x:c r="E12" s="8" t="str">
        <x:v>乾燥與潮濕差異、磨光範圍、行人是否放慢。</x:v>
      </x:c>
      <x:c r="F12" s="8" t="str">
        <x:v>納入：平坦公共人行鋪面長期磨光，乾濕轉換時摩擦不足。
界線／排除：需排除新鮮液體或泥污（路面清潔）；坡道止滑磨耗留在坡道家族。</x:v>
      </x:c>
      <x:c r="G12" s="8" t="str">
        <x:v>草案界線文字線索，待人工確認：路面清潔（含行人果皮箱、菸蒂、狗便）</x:v>
      </x:c>
      <x:c r="H12" s="8" t="str">
        <x:v>草案區隔線索：需排除新鮮液體或泥污（路面清潔）；坡道止滑磨耗留在坡道家族。；候選與既有家族是否有實質差異，待人工判斷。</x:v>
      </x:c>
      <x:c r="I12" s="9" t="str">
        <x:v>pending</x:v>
      </x:c>
      <x:c r="J12" s="9" t="str"/>
      <x:c r="K12" s="24" t="str">
        <x:v>pass</x:v>
      </x:c>
      <x:c r="L12" s="24" t="str">
        <x:v>平面鋪面長期磨光的摩擦問題與坡道止滑磨耗、外來飲料泥污有邊界；仍需避免對材料成因作無證據推斷。</x:v>
      </x:c>
      <x:c r="M12" s="24" t="str">
        <x:v>是</x:v>
      </x:c>
      <x:c r="N12" s="24" t="str">
        <x:v>中</x:v>
      </x:c>
      <x:c r="O12" s="40" t="str">
        <x:v>revise</x:v>
      </x:c>
      <x:c r="P12" s="41" t="str">
        <x:v>核心可暫留，但邊界或納入條件需補明後再確認。 限固定鋪面磨耗，排除液體或泥污，並與坡道磨耗區分。</x:v>
      </x:c>
    </x:row>
    <x:row r="13" ht="26.399999618530273" hidden="0" customHeight="1">
      <x:c r="A13" s="8" t="str">
        <x:v>FAM-SW-DRIVEWAY-CROSSING</x:v>
      </x:c>
      <x:c r="B13" s="8" t="str">
        <x:v>新增候選（49）</x:v>
      </x:c>
      <x:c r="C13" s="8" t="str">
        <x:v>人行道維護</x:v>
      </x:c>
      <x:c r="D13" s="8" t="str">
        <x:v>公共人行道穿越車道出入口處，鋪面銜接造成行人輪子或腳步卡頓。</x:v>
      </x:c>
      <x:c r="E13" s="8" t="str">
        <x:v>出入口寬度、行進方向、步行連續性與輪椅通過。</x:v>
      </x:c>
      <x:c r="F13" s="8" t="str">
        <x:v>納入：公共人行道穿越車道出入口處，鋪面銜接造成行人輪子或腳步卡頓。
界線／排除：僅限公共人行面；私人基地內地坪或車道表面列其他類。</x:v>
      </x:c>
      <x:c r="G13" s="8" t="str">
        <x:v>草案界線文字線索，待人工確認：道路凹陷、不平、有高低差</x:v>
      </x:c>
      <x:c r="H13" s="8" t="str">
        <x:v>草案區隔線索：僅限公共人行面；私人基地內地坪或車道表面列其他類。；候選與既有家族是否有實質差異，待人工判斷。</x:v>
      </x:c>
      <x:c r="I13" s="9" t="str">
        <x:v>pending</x:v>
      </x:c>
      <x:c r="J13" s="9" t="str"/>
      <x:c r="K13" s="24" t="str">
        <x:v>revise</x:v>
      </x:c>
      <x:c r="L13" s="24" t="str">
        <x:v>出入口銜接造成卡頓與一般沉陷／高差重疊；目前主要靠「車道出入口」位置區分。建議界定哪些行人通行連續性缺陷才足以形成獨立家族。</x:v>
      </x:c>
      <x:c r="M13" s="24" t="str">
        <x:v>是</x:v>
      </x:c>
      <x:c r="N13" s="24" t="str">
        <x:v>低</x:v>
      </x:c>
      <x:c r="O13" s="40" t="str">
        <x:v>merge</x:v>
      </x:c>
      <x:c r="P13" s="41" t="str">
        <x:v>建議不保留為獨立家族，情境改作目標家族的變化案例。 併入 FAM-SW-LEVEL-SETTLEMENT。出入口人行道銜接落差依建議併入人行道沉陷。</x:v>
      </x:c>
    </x:row>
    <x:row r="14" ht="26.399999618530273" hidden="0" customHeight="1">
      <x:c r="A14" s="8" t="str">
        <x:v>FAM-SW-MISSING-PAVERS</x:v>
      </x:c>
      <x:c r="B14" s="8" t="str">
        <x:v>新增候選（49）</x:v>
      </x:c>
      <x:c r="C14" s="8" t="str">
        <x:v>人行道維護</x:v>
      </x:c>
      <x:c r="D14" s="8" t="str">
        <x:v>一片或一段鋪面磚完全缺失，留下空穴。</x:v>
      </x:c>
      <x:c r="E14" s="8" t="str">
        <x:v>空穴深度、邊緣、是否有磚塊留在旁邊及避讓方式。</x:v>
      </x:c>
      <x:c r="F14" s="8" t="str">
        <x:v>納入：一片或一段鋪面磚完全缺失，留下空穴。
界線／排除：磚仍在但鬆動／破裂歸既有鋪面磚家族；孔蓋或管線孔洞排除。</x:v>
      </x:c>
      <x:c r="G14" s="8" t="str">
        <x:v>草案未明示其他主類別；請人工確認</x:v>
      </x:c>
      <x:c r="H14" s="8" t="str">
        <x:v>草案區隔線索：磚仍在但鬆動／破裂歸既有鋪面磚家族；孔蓋或管線孔洞排除。；候選與既有家族是否有實質差異，待人工判斷。</x:v>
      </x:c>
      <x:c r="I14" s="9" t="str">
        <x:v>pending</x:v>
      </x:c>
      <x:c r="J14" s="9" t="str"/>
      <x:c r="K14" s="24" t="str">
        <x:v>pass</x:v>
      </x:c>
      <x:c r="L14" s="24" t="str">
        <x:v>整段磚完全缺失形成空穴，與仍在位但破裂／晃動及孔蓋故障可辨，情境差異明確。</x:v>
      </x:c>
      <x:c r="M14" s="24" t="str">
        <x:v>否</x:v>
      </x:c>
      <x:c r="N14" s="24" t="str">
        <x:v>高</x:v>
      </x:c>
      <x:c r="O14" s="40" t="str">
        <x:v>pass</x:v>
      </x:c>
      <x:c r="P14" s="41" t="str">
        <x:v>情境核心「一片或一段鋪面磚完全缺失，留下空穴。」具可辨識案件差異，依建議保留。 保留原 ID 與情境核心，使用現有納入／排除界線。</x:v>
      </x:c>
    </x:row>
    <x:row r="15" ht="15" hidden="0" customHeight="1">
      <x:c r="A15" s="8" t="str">
        <x:v>FAM-SW-EDGE-CRUMBLING</x:v>
      </x:c>
      <x:c r="B15" s="8" t="str">
        <x:v>新增候選（49）</x:v>
      </x:c>
      <x:c r="C15" s="8" t="str">
        <x:v>人行道維護</x:v>
      </x:c>
      <x:c r="D15" s="8" t="str">
        <x:v>人行鋪面靠外側邊界自身崩碎，與緣石本體故障不同。</x:v>
      </x:c>
      <x:c r="E15" s="8" t="str">
        <x:v>崩落長度、碎塊是否鬆脫、外側是否仍可安全通行。</x:v>
      </x:c>
      <x:c r="F15" s="8" t="str">
        <x:v>納入：人行鋪面靠外側邊界自身崩碎，與緣石本體故障不同。
界線／排除：緣石石材本體受損歸緣石家族；車道邊緣破損歸道路類。</x:v>
      </x:c>
      <x:c r="G15" s="8" t="str">
        <x:v>草案界線文字線索，待人工確認：道路凹陷、不平、有高低差</x:v>
      </x:c>
      <x:c r="H15" s="8" t="str">
        <x:v>草案區隔線索：緣石石材本體受損歸緣石家族；車道邊緣破損歸道路類。；候選與既有家族是否有實質差異，待人工判斷。</x:v>
      </x:c>
      <x:c r="I15" s="9" t="str">
        <x:v>pending</x:v>
      </x:c>
      <x:c r="J15" s="9" t="str"/>
      <x:c r="K15" s="24" t="str">
        <x:v>pass</x:v>
      </x:c>
      <x:c r="L15" s="24" t="str">
        <x:v>鋪面邊緣自身崩碎與緣石本體破損有材料邊界；可變化崩落範圍及通行後果。</x:v>
      </x:c>
      <x:c r="M15" s="24" t="str">
        <x:v>是</x:v>
      </x:c>
      <x:c r="N15" s="24" t="str">
        <x:v>中</x:v>
      </x:c>
      <x:c r="O15" s="40" t="str">
        <x:v>revise</x:v>
      </x:c>
      <x:c r="P15" s="41" t="str">
        <x:v>核心可暫留，但邊界或納入條件需補明後再確認。 區分鋪面外緣崩碎與表面剝落。</x:v>
      </x:c>
    </x:row>
    <x:row r="16" ht="15" hidden="0" customHeight="1">
      <x:c r="A16" s="8" t="str">
        <x:v>FAM-SW-PEDESTRIAN-DECK</x:v>
      </x:c>
      <x:c r="B16" s="8" t="str">
        <x:v>新增候選（49）</x:v>
      </x:c>
      <x:c r="C16" s="8" t="str">
        <x:v>人行道維護</x:v>
      </x:c>
      <x:c r="D16" s="8" t="str">
        <x:v>公共人行橋或架高通道的踏板／面板鬆動、翹起或有縫。</x:v>
      </x:c>
      <x:c r="E16" s="8" t="str">
        <x:v>踏板是否彈動、縫隙位置、步行與輪椅受影響方式。</x:v>
      </x:c>
      <x:c r="F16" s="8" t="str">
        <x:v>納入：公共人行橋或架高通道的踏板／面板鬆動、翹起或有縫。
界線／排除：一般公園園內步道列公園維護；橋梁結構安全或非人行表面需另分類。</x:v>
      </x:c>
      <x:c r="G16" s="8" t="str">
        <x:v>草案界線文字線索，待人工確認：一般公園綠地管理及設施維護</x:v>
      </x:c>
      <x:c r="H16" s="8" t="str">
        <x:v>草案區隔線索：一般公園園內步道列公園維護；橋梁結構安全或非人行表面需另分類。；候選與既有家族是否有實質差異，待人工判斷。</x:v>
      </x:c>
      <x:c r="I16" s="9" t="str">
        <x:v>pending</x:v>
      </x:c>
      <x:c r="J16" s="9" t="str"/>
      <x:c r="K16" s="24" t="str">
        <x:v>pass</x:v>
      </x:c>
      <x:c r="L16" s="24" t="str">
        <x:v>架高人行通道面板鬆動與一般園內土徑／步道有設施型態差異；需由人工確認公園界內外與橋體權責界線。</x:v>
      </x:c>
      <x:c r="M16" s="24" t="str">
        <x:v>是</x:v>
      </x:c>
      <x:c r="N16" s="24" t="str">
        <x:v>中</x:v>
      </x:c>
      <x:c r="O16" s="40" t="str">
        <x:v>revise</x:v>
      </x:c>
      <x:c r="P16" s="41" t="str">
        <x:v>核心可暫留，但邊界或納入條件需補明後再確認。 確認公共設施範圍及權責。</x:v>
      </x:c>
    </x:row>
    <x:row r="17" ht="15" hidden="0" customHeight="1">
      <x:c r="A17" s="8" t="str">
        <x:v>FAM-ROAD-INTERSECTION-DENT</x:v>
      </x:c>
      <x:c r="B17" s="8" t="str">
        <x:v>既有（26）</x:v>
      </x:c>
      <x:c r="C17" s="8" t="str">
        <x:v>道路凹陷、不平、有高低差</x:v>
      </x:c>
      <x:c r="D17" s="8" t="str">
        <x:v>路口或轉彎區局部下陷。</x:v>
      </x:c>
      <x:c r="E17" s="8" t="str">
        <x:v>凹處相對停止線／轉彎車道、雨水遮蔽、車輛避讓。</x:v>
      </x:c>
      <x:c r="F17" s="8" t="str">
        <x:v>納入：路口或轉彎區局部下陷。
界線／排除：確認是車行道；孔蓋或排水設施本體故障不歸此類。</x:v>
      </x:c>
      <x:c r="G17" s="8" t="str">
        <x:v>草案未明示其他主類別；請人工確認</x:v>
      </x:c>
      <x:c r="H17" s="8" t="str">
        <x:v>既有家族，作為 taxonomy 基準；核對此描述是否與 taxonomy_v1.2.1.yaml 一致。</x:v>
      </x:c>
      <x:c r="I17" s="9" t="str">
        <x:v>pending</x:v>
      </x:c>
      <x:c r="J17" s="9" t="str"/>
      <x:c r="K17" s="24" t="str">
        <x:v>pass</x:v>
      </x:c>
      <x:c r="L17" s="24" t="str">
        <x:v>路口或轉彎區局部車道下陷是既有基準家族；與人行道依實際受損表面區分。</x:v>
      </x:c>
      <x:c r="M17" s="24" t="str">
        <x:v>否</x:v>
      </x:c>
      <x:c r="N17" s="24" t="str">
        <x:v>高</x:v>
      </x:c>
      <x:c r="O17" s="40" t="str">
        <x:v>pass</x:v>
      </x:c>
      <x:c r="P17" s="41" t="str">
        <x:v>既有家族依建議維持原定義。 保留原 ID 與情境核心，使用現有納入／排除界線。</x:v>
      </x:c>
    </x:row>
    <x:row r="18" ht="15" hidden="0" customHeight="1">
      <x:c r="A18" s="8" t="str">
        <x:v>FAM-ROAD-WHEEL-TRACK</x:v>
      </x:c>
      <x:c r="B18" s="8" t="str">
        <x:v>既有（26）</x:v>
      </x:c>
      <x:c r="C18" s="8" t="str">
        <x:v>道路凹陷、不平、有高低差</x:v>
      </x:c>
      <x:c r="D18" s="8" t="str">
        <x:v>車輪常行位置形成縱向輪跡槽。</x:v>
      </x:c>
      <x:c r="E18" s="8" t="str">
        <x:v>慢車道或主車道、槽深變化、車輛方向修正。</x:v>
      </x:c>
      <x:c r="F18" s="8" t="str">
        <x:v>納入：車輪常行位置形成縱向輪跡槽。
界線／排除：不以位置替換創建新家族；單一道接縫落差歸接縫家族。</x:v>
      </x:c>
      <x:c r="G18" s="8" t="str">
        <x:v>草案未明示其他主類別；請人工確認</x:v>
      </x:c>
      <x:c r="H18" s="8" t="str">
        <x:v>既有家族，作為 taxonomy 基準；核對此描述是否與 taxonomy_v1.2.1.yaml 一致。</x:v>
      </x:c>
      <x:c r="I18" s="9" t="str">
        <x:v>pending</x:v>
      </x:c>
      <x:c r="J18" s="9" t="str"/>
      <x:c r="K18" s="24" t="str">
        <x:v>pass</x:v>
      </x:c>
      <x:c r="L18" s="24" t="str">
        <x:v>縱向輪跡槽以常行車輪位置及連續槽形為核心，不只替換地點；與單一道接縫有明確界線。</x:v>
      </x:c>
      <x:c r="M18" s="24" t="str">
        <x:v>否</x:v>
      </x:c>
      <x:c r="N18" s="24" t="str">
        <x:v>高</x:v>
      </x:c>
      <x:c r="O18" s="40" t="str">
        <x:v>pass</x:v>
      </x:c>
      <x:c r="P18" s="41" t="str">
        <x:v>既有家族依建議維持原定義。 保留原 ID 與情境核心，使用現有納入／排除界線。</x:v>
      </x:c>
    </x:row>
    <x:row r="19" ht="26.399999618530273" hidden="0" customHeight="1">
      <x:c r="A19" s="8" t="str">
        <x:v>FAM-ROAD-CROSSING-APPROACH</x:v>
      </x:c>
      <x:c r="B19" s="8" t="str">
        <x:v>既有（26）</x:v>
      </x:c>
      <x:c r="C19" s="8" t="str">
        <x:v>道路凹陷、不平、有高低差</x:v>
      </x:c>
      <x:c r="D19" s="8" t="str">
        <x:v>停靠或行人穿越位置前的車道路面破損。</x:v>
      </x:c>
      <x:c r="E19" s="8" t="str">
        <x:v>停靠前輪位置、行穿線前距離、車輛起步／停靠反應。</x:v>
      </x:c>
      <x:c r="F19" s="8" t="str">
        <x:v>納入：停靠或行人穿越位置前的車道路面破損。
界線／排除：不含人行道平台或行穿線標線本身問題。</x:v>
      </x:c>
      <x:c r="G19" s="8" t="str">
        <x:v>草案界線文字線索，待人工確認：人行道維護</x:v>
      </x:c>
      <x:c r="H19" s="8" t="str">
        <x:v>既有家族，作為 taxonomy 基準；核對此描述是否與 taxonomy_v1.2.1.yaml 一致。</x:v>
      </x:c>
      <x:c r="I19" s="9" t="str">
        <x:v>pending</x:v>
      </x:c>
      <x:c r="J19" s="9" t="str"/>
      <x:c r="K19" s="24" t="str">
        <x:v>revise</x:v>
      </x:c>
      <x:c r="L19" s="24" t="str">
        <x:v>停靠／穿越位置前的破損本質仍是車道局部破損，與 FAM-ROAD-INTERSECTION-DENT 等家族可能只以位置區分；建議定義其獨有的停靠或起步交互情境，否則合併。</x:v>
      </x:c>
      <x:c r="M19" s="24" t="str">
        <x:v>是</x:v>
      </x:c>
      <x:c r="N19" s="24" t="str">
        <x:v>低</x:v>
      </x:c>
      <x:c r="O19" s="40" t="str">
        <x:v>merge</x:v>
      </x:c>
      <x:c r="P19" s="41" t="str">
        <x:v>建議不保留為獨立家族，情境改作目標家族的變化案例。 併入 FAM-ROAD-INTERSECTION-DENT。依提供建議併入路口局部凹陷，作為停靠／穿越位置變化。</x:v>
      </x:c>
    </x:row>
    <x:row r="20" ht="15" hidden="0" customHeight="1">
      <x:c r="A20" s="8" t="str">
        <x:v>FAM-ROAD-REPAIR-JOINT</x:v>
      </x:c>
      <x:c r="B20" s="8" t="str">
        <x:v>既有（26）</x:v>
      </x:c>
      <x:c r="C20" s="8" t="str">
        <x:v>道路凹陷、不平、有高低差</x:v>
      </x:c>
      <x:c r="D20" s="8" t="str">
        <x:v>補面或施工接縫未與原路面接平。</x:v>
      </x:c>
      <x:c r="E20" s="8" t="str">
        <x:v>橫向／斜向接縫、先上後下震動、補面中段是否平整。</x:v>
      </x:c>
      <x:c r="F20" s="8" t="str">
        <x:v>納入：補面或施工接縫未與原路面接平。
界線／排除：補面整片碎裂歸補面破損候選；管線孔蓋本體故障排除。</x:v>
      </x:c>
      <x:c r="G20" s="8" t="str">
        <x:v>草案未明示其他主類別；請人工確認</x:v>
      </x:c>
      <x:c r="H20" s="8" t="str">
        <x:v>既有家族，作為 taxonomy 基準；核對此描述是否與 taxonomy_v1.2.1.yaml 一致。</x:v>
      </x:c>
      <x:c r="I20" s="9" t="str">
        <x:v>pending</x:v>
      </x:c>
      <x:c r="J20" s="9" t="str"/>
      <x:c r="K20" s="24" t="str">
        <x:v>pass</x:v>
      </x:c>
      <x:c r="L20" s="24" t="str">
        <x:v>補面或施工接縫兩側未接平是明確的接合失效，且可變化橫向／斜向及車輪跨越反應。</x:v>
      </x:c>
      <x:c r="M20" s="24" t="str">
        <x:v>否</x:v>
      </x:c>
      <x:c r="N20" s="24" t="str">
        <x:v>高</x:v>
      </x:c>
      <x:c r="O20" s="40" t="str">
        <x:v>pass</x:v>
      </x:c>
      <x:c r="P20" s="41" t="str">
        <x:v>既有家族依建議維持原定義。 保留原 ID 與情境核心，使用現有納入／排除界線。</x:v>
      </x:c>
    </x:row>
    <x:row r="21" ht="15" hidden="0" customHeight="1">
      <x:c r="A21" s="8" t="str">
        <x:v>FAM-ROAD-LONGITUDINAL-TRANSITION</x:v>
      </x:c>
      <x:c r="B21" s="8" t="str">
        <x:v>既有（26）</x:v>
      </x:c>
      <x:c r="C21" s="8" t="str">
        <x:v>道路凹陷、不平、有高低差</x:v>
      </x:c>
      <x:c r="D21" s="8" t="str">
        <x:v>車行方向長條或斜向路面高低轉換。</x:v>
      </x:c>
      <x:c r="E21" s="8" t="str">
        <x:v>轉換方向、跨車道範圍、車輛是否連續晃動。</x:v>
      </x:c>
      <x:c r="F21" s="8" t="str">
        <x:v>納入：車行方向長條或斜向路面高低轉換。
界線／排除：單純裂縫而無落差可歸裂縫候選；輪跡槽歸輪跡家族。</x:v>
      </x:c>
      <x:c r="G21" s="8" t="str">
        <x:v>草案未明示其他主類別；請人工確認</x:v>
      </x:c>
      <x:c r="H21" s="8" t="str">
        <x:v>既有家族，作為 taxonomy 基準；核對此描述是否與 taxonomy_v1.2.1.yaml 一致。</x:v>
      </x:c>
      <x:c r="I21" s="9" t="str">
        <x:v>pending</x:v>
      </x:c>
      <x:c r="J21" s="9" t="str"/>
      <x:c r="K21" s="24" t="str">
        <x:v>revise</x:v>
      </x:c>
      <x:c r="L21" s="24" t="str">
        <x:v>長條或斜向高差同時涵蓋接縫、廣泛起伏，與輪跡槽及候選 FAM-ROAD-WIDESPREAD-UNDULATION 邊界偏寬；建議收斂到「非接縫、非輪跡」或重新劃分。</x:v>
      </x:c>
      <x:c r="M21" s="24" t="str">
        <x:v>是</x:v>
      </x:c>
      <x:c r="N21" s="24" t="str">
        <x:v>中</x:v>
      </x:c>
      <x:c r="O21" s="40" t="str">
        <x:v>pass</x:v>
      </x:c>
      <x:c r="P21" s="41" t="str">
        <x:v>既有家族依建議維持原定義。 保留原 ID 與情境核心，使用現有納入／排除界線。</x:v>
      </x:c>
    </x:row>
    <x:row r="22" ht="26.399999618530273" hidden="0" customHeight="1">
      <x:c r="A22" s="8" t="str">
        <x:v>FAM-ROAD-DEEP-POTHOLE</x:v>
      </x:c>
      <x:c r="B22" s="8" t="str">
        <x:v>新增候選（49）</x:v>
      </x:c>
      <x:c r="C22" s="8" t="str">
        <x:v>道路凹陷、不平、有高低差</x:v>
      </x:c>
      <x:c r="D22" s="8" t="str">
        <x:v>具明顯深度、邊緣破碎的單一坑洞，車輪會撞擊或急閃。</x:v>
      </x:c>
      <x:c r="E22" s="8" t="str">
        <x:v>坑口形狀、深淺可見度、輪胎衝擊及散落碎石。</x:v>
      </x:c>
      <x:c r="F22" s="8" t="str">
        <x:v>納入：具明顯深度、邊緣破碎的單一坑洞，車輪會撞擊或急閃。
界線／排除：與淺小局部凹陷區分以坑洞形態／風險而非只看地點；孔蓋故障排除。</x:v>
      </x:c>
      <x:c r="G22" s="8" t="str">
        <x:v>草案未明示其他主類別；請人工確認</x:v>
      </x:c>
      <x:c r="H22" s="8" t="str">
        <x:v>草案區隔線索：與淺小局部凹陷區分以坑洞形態／風險而非只看地點；孔蓋故障排除。；候選與既有家族是否有實質差異，待人工判斷。</x:v>
      </x:c>
      <x:c r="I22" s="9" t="str">
        <x:v>pending</x:v>
      </x:c>
      <x:c r="J22" s="9" t="str"/>
      <x:c r="K22" s="24" t="str">
        <x:v>revise</x:v>
      </x:c>
      <x:c r="L22" s="24" t="str">
        <x:v>與既有局部凹陷家族的區隔主要是坑洞深度／風險，但目前沒有可操作門檻；建議補上可觀察的深坑特徵，否則併回局部凹陷。</x:v>
      </x:c>
      <x:c r="M22" s="24" t="str">
        <x:v>是</x:v>
      </x:c>
      <x:c r="N22" s="24" t="str">
        <x:v>低</x:v>
      </x:c>
      <x:c r="O22" s="40" t="str">
        <x:v>pass</x:v>
      </x:c>
      <x:c r="P22" s="41" t="str">
        <x:v>情境核心「具明顯深度、邊緣破碎的單一坑洞，車輪會撞擊或急閃。」具可辨識案件差異，依建議保留。 保留原 ID 與情境核心，使用現有納入／排除界線。</x:v>
      </x:c>
    </x:row>
    <x:row r="23" ht="26.399999618530273" hidden="0" customHeight="1">
      <x:c r="A23" s="8" t="str">
        <x:v>FAM-ROAD-FATIGUE-CRACKING</x:v>
      </x:c>
      <x:c r="B23" s="8" t="str">
        <x:v>新增候選（49）</x:v>
      </x:c>
      <x:c r="C23" s="8" t="str">
        <x:v>道路凹陷、不平、有高低差</x:v>
      </x:c>
      <x:c r="D23" s="8" t="str">
        <x:v>多條互連裂紋形成網狀疲勞破損。</x:v>
      </x:c>
      <x:c r="E23" s="8" t="str">
        <x:v>網狀範圍、是否進一步鬆碎、車輪震動與雨後可見度。</x:v>
      </x:c>
      <x:c r="F23" s="8" t="str">
        <x:v>納入：多條互連裂紋形成網狀疲勞破損。
界線／排除：不等同單一接縫；若碎料成為路面散落物，仍以破損本體為主訴。</x:v>
      </x:c>
      <x:c r="G23" s="8" t="str">
        <x:v>草案界線文字線索，待人工確認：路面清潔（含行人果皮箱、菸蒂、狗便）</x:v>
      </x:c>
      <x:c r="H23" s="8" t="str">
        <x:v>草案區隔線索：不等同單一接縫；若碎料成為路面散落物，仍以破損本體為主訴。；候選與既有家族是否有實質差異，待人工判斷。</x:v>
      </x:c>
      <x:c r="I23" s="9" t="str">
        <x:v>pending</x:v>
      </x:c>
      <x:c r="J23" s="9" t="str"/>
      <x:c r="K23" s="24" t="str">
        <x:v>pass</x:v>
      </x:c>
      <x:c r="L23" s="24" t="str">
        <x:v>互連網狀裂紋具有不同於單一接縫或線性裂縫的形態，可變化裂網範圍與鬆碎程度。</x:v>
      </x:c>
      <x:c r="M23" s="24" t="str">
        <x:v>否</x:v>
      </x:c>
      <x:c r="N23" s="24" t="str">
        <x:v>高</x:v>
      </x:c>
      <x:c r="O23" s="40" t="str">
        <x:v>pass</x:v>
      </x:c>
      <x:c r="P23" s="41" t="str">
        <x:v>情境核心「多條互連裂紋形成網狀疲勞破損。」具可辨識案件差異，依建議保留。 保留原 ID 與情境核心，使用現有納入／排除界線。</x:v>
      </x:c>
    </x:row>
    <x:row r="24" ht="26.399999618530273" hidden="0" customHeight="1">
      <x:c r="A24" s="8" t="str">
        <x:v>FAM-ROAD-SURFACE-CRACKING</x:v>
      </x:c>
      <x:c r="B24" s="8" t="str">
        <x:v>新增候選（49）</x:v>
      </x:c>
      <x:c r="C24" s="8" t="str">
        <x:v>道路凹陷、不平、有高低差</x:v>
      </x:c>
      <x:c r="D24" s="8" t="str">
        <x:v>車行鋪面有非接縫型裂縫，但尚未形成坑洞或垂直高差。</x:v>
      </x:c>
      <x:c r="E24" s="8" t="str">
        <x:v>裂縫呈縱向、橫向或網狀前期；是否延長、是否滲水及是否開始碎裂。</x:v>
      </x:c>
      <x:c r="F24" s="8" t="str">
        <x:v>納入：車行鋪面有非接縫型裂縫，但尚未形成坑洞或垂直高差。
界線／排除：互連網狀疲勞裂紋歸疲勞家族；補面交界或已成高差歸接縫／坑洞家族。</x:v>
      </x:c>
      <x:c r="G24" s="8" t="str">
        <x:v>草案未明示其他主類別；請人工確認</x:v>
      </x:c>
      <x:c r="H24" s="8" t="str">
        <x:v>草案區隔線索：互連網狀疲勞裂紋歸疲勞家族；補面交界或已成高差歸接縫／坑洞家族。；候選與既有家族是否有實質差異，待人工判斷。</x:v>
      </x:c>
      <x:c r="I24" s="9" t="str">
        <x:v>pending</x:v>
      </x:c>
      <x:c r="J24" s="9" t="str"/>
      <x:c r="K24" s="24" t="str">
        <x:v>pass</x:v>
      </x:c>
      <x:c r="L24" s="24" t="str">
        <x:v>非接縫、非網狀的線性裂縫有形態區隔；排除條件能把疲勞裂網與接縫分開。</x:v>
      </x:c>
      <x:c r="M24" s="24" t="str">
        <x:v>是</x:v>
      </x:c>
      <x:c r="N24" s="24" t="str">
        <x:v>中</x:v>
      </x:c>
      <x:c r="O24" s="40" t="str">
        <x:v>pass</x:v>
      </x:c>
      <x:c r="P24" s="41" t="str">
        <x:v>情境核心「車行鋪面有非接縫型裂縫，但尚未形成坑洞或垂直高差。」具可辨識案件差異，依建議保留。 保留原 ID 與情境核心，使用現有納入／排除界線。</x:v>
      </x:c>
    </x:row>
    <x:row r="25" ht="26.399999618530273" hidden="0" customHeight="1">
      <x:c r="A25" s="8" t="str">
        <x:v>FAM-ROAD-BINDER-BLEEDING</x:v>
      </x:c>
      <x:c r="B25" s="8" t="str">
        <x:v>新增候選（49）</x:v>
      </x:c>
      <x:c r="C25" s="8" t="str">
        <x:v>道路凹陷、不平、有高低差</x:v>
      </x:c>
      <x:c r="D25" s="8" t="str">
        <x:v>瀝青黏結料上浮使車行表面局部發亮、摩擦下降，非外來液體污染。</x:v>
      </x:c>
      <x:c r="E25" s="8" t="str">
        <x:v>表面乾濕、輪胎滑移感、黏料是否黏附輪胎及範圍變化。</x:v>
      </x:c>
      <x:c r="F25" s="8" t="str">
        <x:v>納入：瀝青黏結料上浮使車行表面局部發亮、摩擦下降，非外來液體污染。
界線／排除：飲料、油料或其他外來物灑落列清潔／污染案件；路面材料本體失效才列本家族。</x:v>
      </x:c>
      <x:c r="G25" s="8" t="str">
        <x:v>草案界線文字線索，待人工確認：路面清潔（含行人果皮箱、菸蒂、狗便）</x:v>
      </x:c>
      <x:c r="H25" s="8" t="str">
        <x:v>草案區隔線索：飲料、油料或其他外來物灑落列清潔／污染案件；路面材料本體失效才列本家族。；候選與既有家族是否有實質差異，待人工判斷。</x:v>
      </x:c>
      <x:c r="I25" s="9" t="str">
        <x:v>pending</x:v>
      </x:c>
      <x:c r="J25" s="9" t="str"/>
      <x:c r="K25" s="24" t="str">
        <x:v>pass</x:v>
      </x:c>
      <x:c r="L25" s="24" t="str">
        <x:v>黏結料上浮造成路面本體發亮／摩擦改變，與外來液體污染有不同來源及對話線索；來源難辨時需人工確認。</x:v>
      </x:c>
      <x:c r="M25" s="24" t="str">
        <x:v>是</x:v>
      </x:c>
      <x:c r="N25" s="24" t="str">
        <x:v>中</x:v>
      </x:c>
      <x:c r="O25" s="40" t="str">
        <x:v>revise</x:v>
      </x:c>
      <x:c r="P25" s="41" t="str">
        <x:v>核心可暫留，但邊界或納入條件需補明後再確認。 確認是路面材料問題而非外物潑灑，並核對道路類別範圍。</x:v>
      </x:c>
    </x:row>
    <x:row r="26" ht="26.399999618530273" hidden="0" customHeight="1">
      <x:c r="A26" s="8" t="str">
        <x:v>FAM-ROAD-SURFACE-RAVELING</x:v>
      </x:c>
      <x:c r="B26" s="8" t="str">
        <x:v>新增候選（49）</x:v>
      </x:c>
      <x:c r="C26" s="8" t="str">
        <x:v>道路凹陷、不平、有高低差</x:v>
      </x:c>
      <x:c r="D26" s="8" t="str">
        <x:v>車道表面顆粒逐漸脫落，露出粗糙底層。</x:v>
      </x:c>
      <x:c r="E26" s="8" t="str">
        <x:v>顆粒脫落範圍、輪胎帶起碎料、乾濕天差異。</x:v>
      </x:c>
      <x:c r="F26" s="8" t="str">
        <x:v>納入：車道表面顆粒逐漸脫落，露出粗糙底層。
界線／排除：不是單純坑洞或落在道路上的外來物；清掃散落物才列清潔。</x:v>
      </x:c>
      <x:c r="G26" s="8" t="str">
        <x:v>草案界線文字線索，待人工確認：路面清潔（含行人果皮箱、菸蒂、狗便）</x:v>
      </x:c>
      <x:c r="H26" s="8" t="str">
        <x:v>草案區隔線索：不是單純坑洞或落在道路上的外來物；清掃散落物才列清潔。；候選與既有家族是否有實質差異，待人工判斷。</x:v>
      </x:c>
      <x:c r="I26" s="9" t="str">
        <x:v>pending</x:v>
      </x:c>
      <x:c r="J26" s="9" t="str"/>
      <x:c r="K26" s="24" t="str">
        <x:v>pass</x:v>
      </x:c>
      <x:c r="L26" s="24" t="str">
        <x:v>表層顆粒脫落、露出底層與坑洞及路面外來碎料有清楚的物理差異。</x:v>
      </x:c>
      <x:c r="M26" s="24" t="str">
        <x:v>是</x:v>
      </x:c>
      <x:c r="N26" s="24" t="str">
        <x:v>中</x:v>
      </x:c>
      <x:c r="O26" s="40" t="str">
        <x:v>pass</x:v>
      </x:c>
      <x:c r="P26" s="41" t="str">
        <x:v>情境核心「車道表面顆粒逐漸脫落，露出粗糙底層。」具可辨識案件差異，依建議保留。 保留原 ID 與情境核心，使用現有納入／排除界線。</x:v>
      </x:c>
    </x:row>
    <x:row r="27" ht="26.399999618530273" hidden="0" customHeight="1">
      <x:c r="A27" s="8" t="str">
        <x:v>FAM-ROAD-PATCH-BREAKUP</x:v>
      </x:c>
      <x:c r="B27" s="8" t="str">
        <x:v>新增候選（49）</x:v>
      </x:c>
      <x:c r="C27" s="8" t="str">
        <x:v>道路凹陷、不平、有高低差</x:v>
      </x:c>
      <x:c r="D27" s="8" t="str">
        <x:v>舊補面本體網裂、剝落或碎裂，問題不在補面邊界高差。</x:v>
      </x:c>
      <x:c r="E27" s="8" t="str">
        <x:v>補面內裂網、碎塊是否鬆脫、周邊原路面狀況。</x:v>
      </x:c>
      <x:c r="F27" s="8" t="str">
        <x:v>納入：舊補面本體網裂、剝落或碎裂，問題不在補面邊界高差。
界線／排除：只有接邊未接平歸既有修補接縫；人行道補面則歸人行道維護。</x:v>
      </x:c>
      <x:c r="G27" s="8" t="str">
        <x:v>草案界線文字線索，待人工確認：人行道維護</x:v>
      </x:c>
      <x:c r="H27" s="8" t="str">
        <x:v>草案區隔線索：只有接邊未接平歸既有修補接縫；人行道補面則歸人行道維護。；候選與既有家族是否有實質差異，待人工判斷。</x:v>
      </x:c>
      <x:c r="I27" s="9" t="str">
        <x:v>pending</x:v>
      </x:c>
      <x:c r="J27" s="9" t="str"/>
      <x:c r="K27" s="24" t="str">
        <x:v>pass</x:v>
      </x:c>
      <x:c r="L27" s="24" t="str">
        <x:v>舊補面本體碎裂和補面邊界高差有清楚分界；疲勞裂網可能相似，生成時須保留「位於補面內」證據。</x:v>
      </x:c>
      <x:c r="M27" s="24" t="str">
        <x:v>是</x:v>
      </x:c>
      <x:c r="N27" s="24" t="str">
        <x:v>中</x:v>
      </x:c>
      <x:c r="O27" s="40" t="str">
        <x:v>pass</x:v>
      </x:c>
      <x:c r="P27" s="41" t="str">
        <x:v>情境核心「舊補面本體網裂、剝落或碎裂，問題不在補面邊界高差。」具可辨識案件差異，依建議保留。 保留原 ID 與情境核心，使用現有納入／排除界線。</x:v>
      </x:c>
    </x:row>
    <x:row r="28" ht="15" hidden="0" customHeight="1">
      <x:c r="A28" s="8" t="str">
        <x:v>FAM-ROAD-PAVEMENT-HEAVE</x:v>
      </x:c>
      <x:c r="B28" s="8" t="str">
        <x:v>新增候選（49）</x:v>
      </x:c>
      <x:c r="C28" s="8" t="str">
        <x:v>道路凹陷、不平、有高低差</x:v>
      </x:c>
      <x:c r="D28" s="8" t="str">
        <x:v>車行鋪面整片或局部隆起，使車輛越過凸起時震動。</x:v>
      </x:c>
      <x:c r="E28" s="8" t="str">
        <x:v>隆起寬度、是否伴隨裂縫、車輛底盤或方向反應。</x:v>
      </x:c>
      <x:c r="F28" s="8" t="str">
        <x:v>納入：車行鋪面整片或局部隆起，使車輛越過凸起時震動。
界線／排除：若為長條斜向接縫高差歸既有轉換家族；孔蓋凸起排除。</x:v>
      </x:c>
      <x:c r="G28" s="8" t="str">
        <x:v>草案未明示其他主類別；請人工確認</x:v>
      </x:c>
      <x:c r="H28" s="8" t="str">
        <x:v>草案區隔線索：若為長條斜向接縫高差歸既有轉換家族；孔蓋凸起排除。；候選與既有家族是否有實質差異，待人工判斷。</x:v>
      </x:c>
      <x:c r="I28" s="9" t="str">
        <x:v>pending</x:v>
      </x:c>
      <x:c r="J28" s="9" t="str"/>
      <x:c r="K28" s="24" t="str">
        <x:v>revise</x:v>
      </x:c>
      <x:c r="L28" s="24" t="str">
        <x:v>鋪面隆起與既有長條／斜向高低差可能只是凸凹方向不同；建議定義不依接縫、非孔蓋的局部隆起形態，並說明是否允許短條狀。</x:v>
      </x:c>
      <x:c r="M28" s="24" t="str">
        <x:v>是</x:v>
      </x:c>
      <x:c r="N28" s="24" t="str">
        <x:v>低</x:v>
      </x:c>
      <x:c r="O28" s="40" t="str">
        <x:v>revise</x:v>
      </x:c>
      <x:c r="P28" s="41" t="str">
        <x:v>核心可暫留，但邊界或納入條件需補明後再確認。 與縱向接縫高差區分。</x:v>
      </x:c>
    </x:row>
    <x:row r="29" ht="26.399999618530273" hidden="0" customHeight="1">
      <x:c r="A29" s="8" t="str">
        <x:v>FAM-ROAD-SHOULDER-EDGE-DROP</x:v>
      </x:c>
      <x:c r="B29" s="8" t="str">
        <x:v>新增候選（49）</x:v>
      </x:c>
      <x:c r="C29" s="8" t="str">
        <x:v>道路凹陷、不平、有高低差</x:v>
      </x:c>
      <x:c r="D29" s="8" t="str">
        <x:v>車行路面外緣與相鄰路肩形成落差或邊緣流失。</x:v>
      </x:c>
      <x:c r="E29" s="8" t="str">
        <x:v>落差沿道路延伸、車輪偏出時反應、邊緣是否持續崩落。</x:v>
      </x:c>
      <x:c r="F29" s="8" t="str">
        <x:v>納入：車行路面外緣與相鄰路肩形成落差或邊緣流失。
界線／排除：人行緣石或人行鋪面歸人行道；道路設施邊坡崩塌需另分類。</x:v>
      </x:c>
      <x:c r="G29" s="8" t="str">
        <x:v>草案界線文字線索，待人工確認：人行道維護</x:v>
      </x:c>
      <x:c r="H29" s="8" t="str">
        <x:v>草案區隔線索：人行緣石或人行鋪面歸人行道；道路設施邊坡崩塌需另分類。；候選與既有家族是否有實質差異，待人工判斷。</x:v>
      </x:c>
      <x:c r="I29" s="9" t="str">
        <x:v>pending</x:v>
      </x:c>
      <x:c r="J29" s="9" t="str"/>
      <x:c r="K29" s="24" t="str">
        <x:v>pass</x:v>
      </x:c>
      <x:c r="L29" s="24" t="str">
        <x:v>車行鋪面與路肩交界落差和人行緣石損壞可依實際受損表面區分；邊緣延伸與車輪偏出提供變化。</x:v>
      </x:c>
      <x:c r="M29" s="24" t="str">
        <x:v>是</x:v>
      </x:c>
      <x:c r="N29" s="24" t="str">
        <x:v>中</x:v>
      </x:c>
      <x:c r="O29" s="40" t="str">
        <x:v>pass</x:v>
      </x:c>
      <x:c r="P29" s="41" t="str">
        <x:v>情境核心「車行路面外緣與相鄰路肩形成落差或邊緣流失。」具可辨識案件差異，依建議保留。 保留原 ID 與情境核心，使用現有納入／排除界線。</x:v>
      </x:c>
    </x:row>
    <x:row r="30" ht="15" hidden="0" customHeight="1">
      <x:c r="A30" s="8" t="str">
        <x:v>FAM-ROAD-UTILITY-CUT-SETTLEMENT</x:v>
      </x:c>
      <x:c r="B30" s="8" t="str">
        <x:v>新增候選（49）</x:v>
      </x:c>
      <x:c r="C30" s="8" t="str">
        <x:v>道路凹陷、不平、有高低差</x:v>
      </x:c>
      <x:c r="D30" s="8" t="str">
        <x:v>車道管線開挖回填區中央沉陷，形成補土帶內低槽。</x:v>
      </x:c>
      <x:c r="E30" s="8" t="str">
        <x:v>回填區範圍、沉陷是否集中中央、車輪反覆通過的反應。</x:v>
      </x:c>
      <x:c r="F30" s="8" t="str">
        <x:v>納入：車道管線開挖回填區中央沉陷，形成補土帶內低槽。
界線／排除：若只在補面接邊有高差歸修補接縫；人行道回填歸人行道家族。</x:v>
      </x:c>
      <x:c r="G30" s="8" t="str">
        <x:v>草案界線文字線索，待人工確認：人行道維護</x:v>
      </x:c>
      <x:c r="H30" s="8" t="str">
        <x:v>草案區隔線索：若只在補面接邊有高差歸修補接縫；人行道回填歸人行道家族。；候選與既有家族是否有實質差異，待人工判斷。</x:v>
      </x:c>
      <x:c r="I30" s="9" t="str">
        <x:v>pending</x:v>
      </x:c>
      <x:c r="J30" s="9" t="str"/>
      <x:c r="K30" s="24" t="str">
        <x:v>revise</x:v>
      </x:c>
      <x:c r="L30" s="24" t="str">
        <x:v>管線回填帶中央沉陷與一般沉陷、補面接縫均重疊，差異主要是推測開挖成因；建議要求可見回填輪廓作為必要條件，否則併入既有沉陷／接縫家族。</x:v>
      </x:c>
      <x:c r="M30" s="24" t="str">
        <x:v>是</x:v>
      </x:c>
      <x:c r="N30" s="24" t="str">
        <x:v>低</x:v>
      </x:c>
      <x:c r="O30" s="40" t="str">
        <x:v>revise</x:v>
      </x:c>
      <x:c r="P30" s="41" t="str">
        <x:v>核心可暫留，但邊界或納入條件需補明後再確認。 與補面接縫落差區分。</x:v>
      </x:c>
    </x:row>
    <x:row r="31" ht="15" hidden="0" customHeight="1">
      <x:c r="A31" s="8" t="str">
        <x:v>FAM-ROAD-WIDESPREAD-UNDULATION</x:v>
      </x:c>
      <x:c r="B31" s="8" t="str">
        <x:v>新增候選（49）</x:v>
      </x:c>
      <x:c r="C31" s="8" t="str">
        <x:v>道路凹陷、不平、有高低差</x:v>
      </x:c>
      <x:c r="D31" s="8" t="str">
        <x:v>較大範圍連續波狀起伏，沒有單一輪跡槽或單道接縫。</x:v>
      </x:c>
      <x:c r="E31" s="8" t="str">
        <x:v>起伏週期、不同車道感受、不同車種的連續晃動。</x:v>
      </x:c>
      <x:c r="F31" s="8" t="str">
        <x:v>納入：較大範圍連續波狀起伏，沒有單一輪跡槽或單道接縫。
界線／排除：若起伏集中輪跡歸輪跡家族；若集中斜向接合線歸轉換家族。</x:v>
      </x:c>
      <x:c r="G31" s="8" t="str">
        <x:v>草案未明示其他主類別；請人工確認</x:v>
      </x:c>
      <x:c r="H31" s="8" t="str">
        <x:v>草案區隔線索：若起伏集中輪跡歸輪跡家族；若集中斜向接合線歸轉換家族。；候選與既有家族是否有實質差異，待人工判斷。</x:v>
      </x:c>
      <x:c r="I31" s="9" t="str">
        <x:v>pending</x:v>
      </x:c>
      <x:c r="J31" s="9" t="str"/>
      <x:c r="K31" s="24" t="str">
        <x:v>revise</x:v>
      </x:c>
      <x:c r="L31" s="24" t="str">
        <x:v>廣泛波狀起伏雖排除輪跡與單道接縫，但仍和 FAM-ROAD-LONGITUDINAL-TRANSITION 重疊；建議限定多個連續起伏波段且無主導接合線。</x:v>
      </x:c>
      <x:c r="M31" s="24" t="str">
        <x:v>是</x:v>
      </x:c>
      <x:c r="N31" s="24" t="str">
        <x:v>中</x:v>
      </x:c>
      <x:c r="O31" s="40" t="str">
        <x:v>revise</x:v>
      </x:c>
      <x:c r="P31" s="41" t="str">
        <x:v>核心可暫留，但邊界或納入條件需補明後再確認。 限大範圍波狀起伏，不能只因路段較長就使用。</x:v>
      </x:c>
    </x:row>
    <x:row r="32" ht="15" hidden="0" customHeight="1">
      <x:c r="A32" s="8" t="str">
        <x:v>FAM-PARK-SEATING</x:v>
      </x:c>
      <x:c r="B32" s="8" t="str">
        <x:v>既有（26）</x:v>
      </x:c>
      <x:c r="C32" s="8" t="str">
        <x:v>一般公園綠地管理及設施維護</x:v>
      </x:c>
      <x:c r="D32" s="8" t="str">
        <x:v>公園座椅、桌面或休憩家具損壞。</x:v>
      </x:c>
      <x:c r="E32" s="8" t="str">
        <x:v>材料、鬆動部位、使用者接觸風險與可否使用。</x:v>
      </x:c>
      <x:c r="F32" s="8" t="str">
        <x:v>納入：公園座椅、桌面或休憩家具損壞。
界線／排除：必須在一般公園範圍；私人座椅或店家家具不歸本類。</x:v>
      </x:c>
      <x:c r="G32" s="8" t="str">
        <x:v>草案未明示其他主類別；請人工確認</x:v>
      </x:c>
      <x:c r="H32" s="8" t="str">
        <x:v>既有家族，作為 taxonomy 基準；核對此描述是否與 taxonomy_v1.2.1.yaml 一致。</x:v>
      </x:c>
      <x:c r="I32" s="9" t="str">
        <x:v>pending</x:v>
      </x:c>
      <x:c r="J32" s="9" t="str"/>
      <x:c r="K32" s="24" t="str">
        <x:v>pass</x:v>
      </x:c>
      <x:c r="L32" s="24" t="str">
        <x:v>公園座椅、桌面與休憩家具破損有共同使用情境；材料與部位提供多種可變對話，不只是地點差異。</x:v>
      </x:c>
      <x:c r="M32" s="24" t="str">
        <x:v>否</x:v>
      </x:c>
      <x:c r="N32" s="24" t="str">
        <x:v>高</x:v>
      </x:c>
      <x:c r="O32" s="40" t="str">
        <x:v>pass</x:v>
      </x:c>
      <x:c r="P32" s="41" t="str">
        <x:v>既有家族依建議維持原定義。 保留原 ID 與情境核心，使用現有納入／排除界線。</x:v>
      </x:c>
    </x:row>
    <x:row r="33" ht="15" hidden="0" customHeight="1">
      <x:c r="A33" s="8" t="str">
        <x:v>FAM-PARK-PLAY-EQUIPMENT</x:v>
      </x:c>
      <x:c r="B33" s="8" t="str">
        <x:v>既有（26）</x:v>
      </x:c>
      <x:c r="C33" s="8" t="str">
        <x:v>一般公園綠地管理及設施維護</x:v>
      </x:c>
      <x:c r="D33" s="8" t="str">
        <x:v>兒童遊戲設備本體或連接部件破損。</x:v>
      </x:c>
      <x:c r="E33" s="8" t="str">
        <x:v>破損部位、晃動／尖角、孩子是否仍會使用。</x:v>
      </x:c>
      <x:c r="F33" s="8" t="str">
        <x:v>納入：兒童遊戲設備本體或連接部件破損。
界線／排除：遊戲區地坪獨立缺陷歸公園步道／場地面候選，不混設備故障。</x:v>
      </x:c>
      <x:c r="G33" s="8" t="str">
        <x:v>草案未明示其他主類別；請人工確認</x:v>
      </x:c>
      <x:c r="H33" s="8" t="str">
        <x:v>既有家族，作為 taxonomy 基準；核對此描述是否與 taxonomy_v1.2.1.yaml 一致。</x:v>
      </x:c>
      <x:c r="I33" s="9" t="str">
        <x:v>pending</x:v>
      </x:c>
      <x:c r="J33" s="9" t="str"/>
      <x:c r="K33" s="24" t="str">
        <x:v>pass</x:v>
      </x:c>
      <x:c r="L33" s="24" t="str">
        <x:v>兒童遊戲設備故障可按連接、包覆、活動部件及兒童使用風險變化；與場地鋪面問題已有邊界。</x:v>
      </x:c>
      <x:c r="M33" s="24" t="str">
        <x:v>否</x:v>
      </x:c>
      <x:c r="N33" s="24" t="str">
        <x:v>高</x:v>
      </x:c>
      <x:c r="O33" s="40" t="str">
        <x:v>pass</x:v>
      </x:c>
      <x:c r="P33" s="41" t="str">
        <x:v>既有家族依建議維持原定義。 保留原 ID 與情境核心，使用現有納入／排除界線。</x:v>
      </x:c>
    </x:row>
    <x:row r="34" ht="15" hidden="0" customHeight="1">
      <x:c r="A34" s="8" t="str">
        <x:v>FAM-PARK-SPORTS-EQUIPMENT</x:v>
      </x:c>
      <x:c r="B34" s="8" t="str">
        <x:v>既有（26）</x:v>
      </x:c>
      <x:c r="C34" s="8" t="str">
        <x:v>一般公園綠地管理及設施維護</x:v>
      </x:c>
      <x:c r="D34" s="8" t="str">
        <x:v>體健器材或球場固定設備鬆動、破損。</x:v>
      </x:c>
      <x:c r="E34" s="8" t="str">
        <x:v>固定座、器材運作、圍網或使用安全。</x:v>
      </x:c>
      <x:c r="F34" s="8" t="str">
        <x:v>納入：體健器材或球場固定設備鬆動、破損。
界線／排除：球場鋪面本體缺陷列球場表面候選；區外道路設備排除。</x:v>
      </x:c>
      <x:c r="G34" s="8" t="str">
        <x:v>草案界線文字線索，待人工確認：道路凹陷、不平、有高低差</x:v>
      </x:c>
      <x:c r="H34" s="8" t="str">
        <x:v>既有家族，作為 taxonomy 基準；核對此描述是否與 taxonomy_v1.2.1.yaml 一致。</x:v>
      </x:c>
      <x:c r="I34" s="9" t="str">
        <x:v>pending</x:v>
      </x:c>
      <x:c r="J34" s="9" t="str"/>
      <x:c r="K34" s="24" t="str">
        <x:v>pass</x:v>
      </x:c>
      <x:c r="L34" s="24" t="str">
        <x:v>體健器材或球場固定設備故障有使用功能及固定件差異；需與場地表面缺陷分開。</x:v>
      </x:c>
      <x:c r="M34" s="24" t="str">
        <x:v>否</x:v>
      </x:c>
      <x:c r="N34" s="24" t="str">
        <x:v>高</x:v>
      </x:c>
      <x:c r="O34" s="40" t="str">
        <x:v>pass</x:v>
      </x:c>
      <x:c r="P34" s="41" t="str">
        <x:v>既有家族依建議維持原定義。 保留原 ID 與情境核心，使用現有納入／排除界線。</x:v>
      </x:c>
    </x:row>
    <x:row r="35" ht="15" hidden="0" customHeight="1">
      <x:c r="A35" s="8" t="str">
        <x:v>FAM-PARK-GREENERY</x:v>
      </x:c>
      <x:c r="B35" s="8" t="str">
        <x:v>既有（26）</x:v>
      </x:c>
      <x:c r="C35" s="8" t="str">
        <x:v>一般公園綠地管理及設施維護</x:v>
      </x:c>
      <x:c r="D35" s="8" t="str">
        <x:v>公園草木、綠籬或植栽生長影響管理。</x:v>
      </x:c>
      <x:c r="E35" s="8" t="str">
        <x:v>高度、枝葉伸入通行面、視線或維護頻率。</x:v>
      </x:c>
      <x:c r="F35" s="8" t="str">
        <x:v>納入：公園草木、綠籬或植栽生長影響管理。
界線／排除：僅公園綠地；路旁行道樹、路燈或私人植栽不因位置相近而併入。</x:v>
      </x:c>
      <x:c r="G35" s="8" t="str">
        <x:v>草案未明示其他主類別；請人工確認</x:v>
      </x:c>
      <x:c r="H35" s="8" t="str">
        <x:v>既有家族，作為 taxonomy 基準；核對此描述是否與 taxonomy_v1.2.1.yaml 一致。</x:v>
      </x:c>
      <x:c r="I35" s="9" t="str">
        <x:v>pending</x:v>
      </x:c>
      <x:c r="J35" s="9" t="str"/>
      <x:c r="K35" s="24" t="str">
        <x:v>pass</x:v>
      </x:c>
      <x:c r="L35" s="24" t="str">
        <x:v>植栽生長與枝葉外伸／視線影響形成管理情境；園內植栽與行道樹已有範圍界線。</x:v>
      </x:c>
      <x:c r="M35" s="24" t="str">
        <x:v>否</x:v>
      </x:c>
      <x:c r="N35" s="24" t="str">
        <x:v>高</x:v>
      </x:c>
      <x:c r="O35" s="40" t="str">
        <x:v>pass</x:v>
      </x:c>
      <x:c r="P35" s="41" t="str">
        <x:v>既有家族依建議維持原定義。 保留原 ID 與情境核心，使用現有納入／排除界線。</x:v>
      </x:c>
    </x:row>
    <x:row r="36" ht="15" hidden="0" customHeight="1">
      <x:c r="A36" s="8" t="str">
        <x:v>FAM-PARK-PLANTING-BED</x:v>
      </x:c>
      <x:c r="B36" s="8" t="str">
        <x:v>既有（26）</x:v>
      </x:c>
      <x:c r="C36" s="8" t="str">
        <x:v>一般公園綠地管理及設施維護</x:v>
      </x:c>
      <x:c r="D36" s="8" t="str">
        <x:v>草地／花圃土壤裸露、流失或進入園內步道。</x:v>
      </x:c>
      <x:c r="E36" s="8" t="str">
        <x:v>雨後沖刷、裸土範圍、泥土是否帶到步道。</x:v>
      </x:c>
      <x:c r="F36" s="8" t="str">
        <x:v>納入：草地／花圃土壤裸露、流失或進入園內步道。
界線／排除：若主訴是排水設施堵塞，排除；公園外人行鋪面清理不歸本類。</x:v>
      </x:c>
      <x:c r="G36" s="8" t="str">
        <x:v>草案界線文字線索，待人工確認：人行道維護；路面清潔（含行人果皮箱、菸蒂、狗便）</x:v>
      </x:c>
      <x:c r="H36" s="8" t="str">
        <x:v>既有家族，作為 taxonomy 基準；核對此描述是否與 taxonomy_v1.2.1.yaml 一致。</x:v>
      </x:c>
      <x:c r="I36" s="9" t="str">
        <x:v>pending</x:v>
      </x:c>
      <x:c r="J36" s="9" t="str"/>
      <x:c r="K36" s="24" t="str">
        <x:v>pass</x:v>
      </x:c>
      <x:c r="L36" s="24" t="str">
        <x:v>花圃土壤裸露／沖刷與非鋪裝步道本體侵蝕不同，重點是土從植栽區流出；排水故障排除清楚。</x:v>
      </x:c>
      <x:c r="M36" s="24" t="str">
        <x:v>是</x:v>
      </x:c>
      <x:c r="N36" s="24" t="str">
        <x:v>中</x:v>
      </x:c>
      <x:c r="O36" s="40" t="str">
        <x:v>pass</x:v>
      </x:c>
      <x:c r="P36" s="41" t="str">
        <x:v>既有家族依建議維持原定義。 保留原 ID 與情境核心，使用現有納入／排除界線。</x:v>
      </x:c>
    </x:row>
    <x:row r="37" ht="15" hidden="0" customHeight="1">
      <x:c r="A37" s="8" t="str">
        <x:v>FAM-PARK-VEHICLE-ENTRY</x:v>
      </x:c>
      <x:c r="B37" s="8" t="str">
        <x:v>既有（26）</x:v>
      </x:c>
      <x:c r="C37" s="8" t="str">
        <x:v>一般公園綠地管理及設施維護</x:v>
      </x:c>
      <x:c r="D37" s="8" t="str">
        <x:v>車輛進入一般公園步行或綠地範圍。</x:v>
      </x:c>
      <x:c r="E37" s="8" t="str">
        <x:v>車種、進入路徑、停留位置、行人避讓與觀察時段。</x:v>
      </x:c>
      <x:c r="F37" s="8" t="str">
        <x:v>納入：車輛進入一般公園步行或綠地範圍。
界線／排除：只記錄公園範圍內車輛進入；停車場正常通行、道路違停不混入。</x:v>
      </x:c>
      <x:c r="G37" s="8" t="str">
        <x:v>草案界線文字線索，待人工確認：道路凹陷、不平、有高低差</x:v>
      </x:c>
      <x:c r="H37" s="8" t="str">
        <x:v>既有家族，作為 taxonomy 基準；核對此描述是否與 taxonomy_v1.2.1.yaml 一致。</x:v>
      </x:c>
      <x:c r="I37" s="9" t="str">
        <x:v>pending</x:v>
      </x:c>
      <x:c r="J37" s="9" t="str"/>
      <x:c r="K37" s="24" t="str">
        <x:v>pass</x:v>
      </x:c>
      <x:c r="L37" s="24" t="str">
        <x:v>車輛進入園內步行／綠地範圍是明確的行為型情境，和設施損壞不同；正式生成須維持單一主訴。</x:v>
      </x:c>
      <x:c r="M37" s="24" t="str">
        <x:v>否</x:v>
      </x:c>
      <x:c r="N37" s="24" t="str">
        <x:v>高</x:v>
      </x:c>
      <x:c r="O37" s="40" t="str">
        <x:v>pass</x:v>
      </x:c>
      <x:c r="P37" s="41" t="str">
        <x:v>既有家族依建議維持原定義。 保留原 ID 與情境核心，使用現有納入／排除界線。</x:v>
      </x:c>
    </x:row>
    <x:row r="38" ht="26.399999618530273" hidden="0" customHeight="1">
      <x:c r="A38" s="8" t="str">
        <x:v>FAM-PARK-TRAIL-SURFACE-EROSION</x:v>
      </x:c>
      <x:c r="B38" s="8" t="str">
        <x:v>新增候選（49）</x:v>
      </x:c>
      <x:c r="C38" s="8" t="str">
        <x:v>一般公園綠地管理及設施維護</x:v>
      </x:c>
      <x:c r="D38" s="8" t="str">
        <x:v>公園內非鋪裝步道被雨水沖出溝槽、鬆土或車轍，影響徒步路線。</x:v>
      </x:c>
      <x:c r="E38" s="8" t="str">
        <x:v>土徑乾濕、侵蝕深度、坡段上下行及行人如何避開。</x:v>
      </x:c>
      <x:c r="F38" s="8" t="str">
        <x:v>納入：公園內非鋪裝步道被雨水沖出溝槽、鬆土或車轍，影響徒步路線。
界線／排除：鋪裝步道磚面破損依人行道／公園鋪面規則判斷；花圃土流到路面歸植栽區家族。</x:v>
      </x:c>
      <x:c r="G38" s="8" t="str">
        <x:v>草案界線文字線索，待人工確認：人行道維護</x:v>
      </x:c>
      <x:c r="H38" s="8" t="str">
        <x:v>草案區隔線索：鋪裝步道磚面破損依人行道／公園鋪面規則判斷；花圃土流到路面歸植栽區家族。；候選與既有家族是否有實質差異，待人工判斷。</x:v>
      </x:c>
      <x:c r="I38" s="9" t="str">
        <x:v>pending</x:v>
      </x:c>
      <x:c r="J38" s="9" t="str"/>
      <x:c r="K38" s="24" t="str">
        <x:v>pass</x:v>
      </x:c>
      <x:c r="L38" s="24" t="str">
        <x:v>園內非鋪裝土徑侵蝕與鋪面磚故障、花圃土流出可按受損對象與成因區分；適合變化雨後地形和徒步影響。</x:v>
      </x:c>
      <x:c r="M38" s="24" t="str">
        <x:v>是</x:v>
      </x:c>
      <x:c r="N38" s="24" t="str">
        <x:v>中</x:v>
      </x:c>
      <x:c r="O38" s="40" t="str">
        <x:v>pass</x:v>
      </x:c>
      <x:c r="P38" s="41" t="str">
        <x:v>情境核心「公園內非鋪裝步道被雨水沖出溝槽、鬆土或車轍，影響徒步路線。」具可辨識案件差異，依建議保留。 保留原 ID 與情境核心，使用現有納入／排除界線。</x:v>
      </x:c>
    </x:row>
    <x:row r="39" ht="26.399999618530273" hidden="0" customHeight="1">
      <x:c r="A39" s="8" t="str">
        <x:v>FAM-PARK-STAIR-HANDRAIL</x:v>
      </x:c>
      <x:c r="B39" s="8" t="str">
        <x:v>新增候選（49）</x:v>
      </x:c>
      <x:c r="C39" s="8" t="str">
        <x:v>一般公園綠地管理及設施維護</x:v>
      </x:c>
      <x:c r="D39" s="8" t="str">
        <x:v>公園階梯、平台扶手或固定支撐件鬆脫／損壞。</x:v>
      </x:c>
      <x:c r="E39" s="8" t="str">
        <x:v>扶手晃動、階梯踏面、使用者需要支撐的情境。</x:v>
      </x:c>
      <x:c r="F39" s="8" t="str">
        <x:v>納入：公園階梯、平台扶手或固定支撐件鬆脫／損壞。
界線／排除：階梯旁排水或斜坡土方問題不混入；公園外公共設施另分類。</x:v>
      </x:c>
      <x:c r="G39" s="8" t="str">
        <x:v>草案未明示其他主類別；請人工確認</x:v>
      </x:c>
      <x:c r="H39" s="8" t="str">
        <x:v>草案區隔線索：階梯旁排水或斜坡土方問題不混入；公園外公共設施另分類。；候選與既有家族是否有實質差異，待人工判斷。</x:v>
      </x:c>
      <x:c r="I39" s="9" t="str">
        <x:v>pending</x:v>
      </x:c>
      <x:c r="J39" s="9" t="str"/>
      <x:c r="K39" s="24" t="str">
        <x:v>revise</x:v>
      </x:c>
      <x:c r="L39" s="24" t="str">
        <x:v>目前同時納入扶手／支撐件故障與階梯踏面，後者會落入步道／鋪面維護；建議把核心收窄為扶手及固定支撐件，將踏面缺陷排除。</x:v>
      </x:c>
      <x:c r="M39" s="24" t="str">
        <x:v>是</x:v>
      </x:c>
      <x:c r="N39" s="24" t="str">
        <x:v>中</x:v>
      </x:c>
      <x:c r="O39" s="40" t="str">
        <x:v>pass</x:v>
      </x:c>
      <x:c r="P39" s="41" t="str">
        <x:v>情境核心「公園階梯、平台扶手或固定支撐件鬆脫／損壞。」具可辨識案件差異，依建議保留。 保留原 ID 與情境核心，使用現有納入／排除界線。</x:v>
      </x:c>
    </x:row>
    <x:row r="40" ht="26.399999618530273" hidden="0" customHeight="1">
      <x:c r="A40" s="8" t="str">
        <x:v>FAM-PARK-SHELTER-ROOF</x:v>
      </x:c>
      <x:c r="B40" s="8" t="str">
        <x:v>新增候選（49）</x:v>
      </x:c>
      <x:c r="C40" s="8" t="str">
        <x:v>一般公園綠地管理及設施維護</x:v>
      </x:c>
      <x:c r="D40" s="8" t="str">
        <x:v>涼亭、遮棚等公園休憩構造的屋面或固定件損壞。</x:v>
      </x:c>
      <x:c r="E40" s="8" t="str">
        <x:v>漏水、板材翹起、風雨後變化及使用區域。</x:v>
      </x:c>
      <x:c r="F40" s="8" t="str">
        <x:v>納入：涼亭、遮棚等公園休憩構造的屋面或固定件損壞。
界線／排除：不延伸成噪音或私人建物維修；結構重大危險需人工判斷權責。</x:v>
      </x:c>
      <x:c r="G40" s="8" t="str">
        <x:v>草案未明示其他主類別；請人工確認</x:v>
      </x:c>
      <x:c r="H40" s="8" t="str">
        <x:v>草案區隔線索：不延伸成噪音或私人建物維修；結構重大危險需人工判斷權責。；候選與既有家族是否有實質差異，待人工判斷。</x:v>
      </x:c>
      <x:c r="I40" s="9" t="str">
        <x:v>pending</x:v>
      </x:c>
      <x:c r="J40" s="9" t="str"/>
      <x:c r="K40" s="24" t="str">
        <x:v>pass</x:v>
      </x:c>
      <x:c r="L40" s="24" t="str">
        <x:v>涼亭／遮棚屋面及固定件故障有漏水、翹板等不同觀察線索，和座椅或一般植栽管理可區分。</x:v>
      </x:c>
      <x:c r="M40" s="24" t="str">
        <x:v>是</x:v>
      </x:c>
      <x:c r="N40" s="24" t="str">
        <x:v>中</x:v>
      </x:c>
      <x:c r="O40" s="40" t="str">
        <x:v>pass</x:v>
      </x:c>
      <x:c r="P40" s="41" t="str">
        <x:v>情境核心「涼亭、遮棚等公園休憩構造的屋面或固定件損壞。」具可辨識案件差異，依建議保留。 保留原 ID 與情境核心，使用現有納入／排除界線。</x:v>
      </x:c>
    </x:row>
    <x:row r="41" ht="26.399999618530273" hidden="0" customHeight="1">
      <x:c r="A41" s="8" t="str">
        <x:v>FAM-PARK-RESTROOM-DOOR-PARTITION</x:v>
      </x:c>
      <x:c r="B41" s="8" t="str">
        <x:v>新增候選（49）</x:v>
      </x:c>
      <x:c r="C41" s="8" t="str">
        <x:v>一般公園綠地管理及設施維護</x:v>
      </x:c>
      <x:c r="D41" s="8" t="str">
        <x:v>公園公廁門、隔間或固定五金故障，影響正常使用。</x:v>
      </x:c>
      <x:c r="E41" s="8" t="str">
        <x:v>門鎖、門扇、隔板穩定與可用隔間數。</x:v>
      </x:c>
      <x:c r="F41" s="8" t="str">
        <x:v>納入：公園公廁門、隔間或固定五金故障，影響正常使用。
界線／排除：不處理供水、污水或排水管線主訴；室內私人廁所排除。</x:v>
      </x:c>
      <x:c r="G41" s="8" t="str">
        <x:v>草案未明示其他主類別；請人工確認</x:v>
      </x:c>
      <x:c r="H41" s="8" t="str">
        <x:v>草案區隔線索：不處理供水、污水或排水管線主訴；室內私人廁所排除。；候選與既有家族是否有實質差異，待人工判斷。</x:v>
      </x:c>
      <x:c r="I41" s="9" t="str">
        <x:v>pending</x:v>
      </x:c>
      <x:c r="J41" s="9" t="str"/>
      <x:c r="K41" s="24" t="str">
        <x:v>pass</x:v>
      </x:c>
      <x:c r="L41" s="24" t="str">
        <x:v>公廁門扇、門鎖與隔間故障影響設施可用性，和供水／排水案件有明確界線。</x:v>
      </x:c>
      <x:c r="M41" s="24" t="str">
        <x:v>否</x:v>
      </x:c>
      <x:c r="N41" s="24" t="str">
        <x:v>高</x:v>
      </x:c>
      <x:c r="O41" s="40" t="str">
        <x:v>pass</x:v>
      </x:c>
      <x:c r="P41" s="41" t="str">
        <x:v>情境核心「公園公廁門、隔間或固定五金故障，影響正常使用。」具可辨識案件差異，依建議保留。 保留原 ID 與情境核心，使用現有納入／排除界線。</x:v>
      </x:c>
    </x:row>
    <x:row r="42" ht="26.399999618530273" hidden="0" customHeight="1">
      <x:c r="A42" s="8" t="str">
        <x:v>FAM-PARK-DRINKING-FOUNTAIN</x:v>
      </x:c>
      <x:c r="B42" s="8" t="str">
        <x:v>新增候選（49）</x:v>
      </x:c>
      <x:c r="C42" s="8" t="str">
        <x:v>一般公園綠地管理及設施維護</x:v>
      </x:c>
      <x:c r="D42" s="8" t="str">
        <x:v>公園飲水設備本體破損、按鍵或出水部件失效。</x:v>
      </x:c>
      <x:c r="E42" s="8" t="str">
        <x:v>是否出水、按鍵／龍頭部件、使用者能否安全取水。</x:v>
      </x:c>
      <x:c r="F42" s="8" t="str">
        <x:v>納入：公園飲水設備本體破損、按鍵或出水部件失效。
界線／排除：設備本體是主訴才列公園設施；自來水管線或水質案件另分類。</x:v>
      </x:c>
      <x:c r="G42" s="8" t="str">
        <x:v>草案未明示其他主類別；請人工確認</x:v>
      </x:c>
      <x:c r="H42" s="8" t="str">
        <x:v>草案區隔線索：設備本體是主訴才列公園設施；自來水管線或水質案件另分類。；候選與既有家族是否有實質差異，待人工判斷。</x:v>
      </x:c>
      <x:c r="I42" s="9" t="str">
        <x:v>pending</x:v>
      </x:c>
      <x:c r="J42" s="9" t="str"/>
      <x:c r="K42" s="24" t="str">
        <x:v>pass</x:v>
      </x:c>
      <x:c r="L42" s="24" t="str">
        <x:v>飲水設備本體按鍵／出水部件故障與水質或管線問題不同；需以設備故障為主要訴求。</x:v>
      </x:c>
      <x:c r="M42" s="24" t="str">
        <x:v>是</x:v>
      </x:c>
      <x:c r="N42" s="24" t="str">
        <x:v>中</x:v>
      </x:c>
      <x:c r="O42" s="40" t="str">
        <x:v>pass</x:v>
      </x:c>
      <x:c r="P42" s="41" t="str">
        <x:v>情境核心「公園飲水設備本體破損、按鍵或出水部件失效。」具可辨識案件差異，依建議保留。 保留原 ID 與情境核心，使用現有納入／排除界線。</x:v>
      </x:c>
    </x:row>
    <x:row r="43" ht="26.399999618530273" hidden="0" customHeight="1">
      <x:c r="A43" s="8" t="str">
        <x:v>FAM-PARK-FENCE-GATE</x:v>
      </x:c>
      <x:c r="B43" s="8" t="str">
        <x:v>新增候選（49）</x:v>
      </x:c>
      <x:c r="C43" s="8" t="str">
        <x:v>一般公園綠地管理及設施維護</x:v>
      </x:c>
      <x:c r="D43" s="8" t="str">
        <x:v>公園固定圍籬或出入口門扇破損、無法關合。</x:v>
      </x:c>
      <x:c r="E43" s="8" t="str">
        <x:v>欄杆脫落、尖端、門扇卡住及行人安全。</x:v>
      </x:c>
      <x:c r="F43" s="8" t="str">
        <x:v>納入：公園固定圍籬或出入口門扇破損、無法關合。
界線／排除：不與車輛進入情境拼成一筆；交通管制門或私人圍籬需另判。</x:v>
      </x:c>
      <x:c r="G43" s="8" t="str">
        <x:v>草案未明示其他主類別；請人工確認</x:v>
      </x:c>
      <x:c r="H43" s="8" t="str">
        <x:v>草案區隔線索：不與車輛進入情境拼成一筆；交通管制門或私人圍籬需另判。；候選與既有家族是否有實質差異，待人工判斷。</x:v>
      </x:c>
      <x:c r="I43" s="9" t="str">
        <x:v>pending</x:v>
      </x:c>
      <x:c r="J43" s="9" t="str"/>
      <x:c r="K43" s="24" t="str">
        <x:v>pass</x:v>
      </x:c>
      <x:c r="L43" s="24" t="str">
        <x:v>固定圍籬／門扇本體損壞與車輛進入事件不同；不把兩種問題拼在同一通話的排除清楚。</x:v>
      </x:c>
      <x:c r="M43" s="24" t="str">
        <x:v>是</x:v>
      </x:c>
      <x:c r="N43" s="24" t="str">
        <x:v>中</x:v>
      </x:c>
      <x:c r="O43" s="40" t="str">
        <x:v>pass</x:v>
      </x:c>
      <x:c r="P43" s="41" t="str">
        <x:v>情境核心「公園固定圍籬或出入口門扇破損、無法關合。」具可辨識案件差異，依建議保留。 保留原 ID 與情境核心，使用現有納入／排除界線。</x:v>
      </x:c>
    </x:row>
    <x:row r="44" ht="26.399999618530273" hidden="0" customHeight="1">
      <x:c r="A44" s="8" t="str">
        <x:v>FAM-PARK-INFORMATION-SIGN</x:v>
      </x:c>
      <x:c r="B44" s="8" t="str">
        <x:v>新增候選（49）</x:v>
      </x:c>
      <x:c r="C44" s="8" t="str">
        <x:v>一般公園綠地管理及設施維護</x:v>
      </x:c>
      <x:c r="D44" s="8" t="str">
        <x:v>園內導覽牌、設施說明牌或固定資訊板損壞／無法閱讀。</x:v>
      </x:c>
      <x:c r="E44" s="8" t="str">
        <x:v>牌面脫落、字跡褪色、支架不穩及資訊缺失範圍。</x:v>
      </x:c>
      <x:c r="F44" s="8" t="str">
        <x:v>納入：園內導覽牌、設施說明牌或固定資訊板損壞／無法閱讀。
界線／排除：不含道路交通標誌、廣告或內容政策爭議；只處理公園設施維護。</x:v>
      </x:c>
      <x:c r="G44" s="8" t="str">
        <x:v>草案界線文字線索，待人工確認：道路凹陷、不平、有高低差</x:v>
      </x:c>
      <x:c r="H44" s="8" t="str">
        <x:v>草案區隔線索：不含道路交通標誌、廣告或內容政策爭議；只處理公園設施維護。；候選與既有家族是否有實質差異，待人工判斷。</x:v>
      </x:c>
      <x:c r="I44" s="9" t="str">
        <x:v>pending</x:v>
      </x:c>
      <x:c r="J44" s="9" t="str"/>
      <x:c r="K44" s="24" t="str">
        <x:v>pass</x:v>
      </x:c>
      <x:c r="L44" s="24" t="str">
        <x:v>園內固定資訊牌的可讀性／固定狀況與道路交通標誌、內容政策爭議有區隔；確認只處理設施維護。</x:v>
      </x:c>
      <x:c r="M44" s="24" t="str">
        <x:v>是</x:v>
      </x:c>
      <x:c r="N44" s="24" t="str">
        <x:v>中</x:v>
      </x:c>
      <x:c r="O44" s="40" t="str">
        <x:v>pass</x:v>
      </x:c>
      <x:c r="P44" s="41" t="str">
        <x:v>情境核心「園內導覽牌、設施說明牌或固定資訊板損壞／無法閱讀。」具可辨識案件差異，依建議保留。 保留原 ID 與情境核心，使用現有納入／排除界線。</x:v>
      </x:c>
    </x:row>
    <x:row r="45" ht="26.399999618530273" hidden="0" customHeight="1">
      <x:c r="A45" s="8" t="str">
        <x:v>FAM-PARK-LIGHTING-EQUIPMENT</x:v>
      </x:c>
      <x:c r="B45" s="8" t="str">
        <x:v>新增候選（49）</x:v>
      </x:c>
      <x:c r="C45" s="8" t="str">
        <x:v>一般公園綠地管理及設施維護</x:v>
      </x:c>
      <x:c r="D45" s="8" t="str">
        <x:v>公園範圍內固定照明設備故障，造成園內區段偏暗。</x:v>
      </x:c>
      <x:c r="E45" s="8" t="str">
        <x:v>單盞／一段燈具、故障時段、園內步行安全。</x:v>
      </x:c>
      <x:c r="F45" s="8" t="str">
        <x:v>納入：公園範圍內固定照明設備故障，造成園內區段偏暗。
界線／排除：先確認燈具位於公園界內；道路路燈維護歸道路相關類。</x:v>
      </x:c>
      <x:c r="G45" s="8" t="str">
        <x:v>草案界線文字線索，待人工確認：道路凹陷、不平、有高低差</x:v>
      </x:c>
      <x:c r="H45" s="8" t="str">
        <x:v>草案區隔線索：先確認燈具位於公園界內；道路路燈維護歸道路相關類。；候選與既有家族是否有實質差異，待人工判斷。</x:v>
      </x:c>
      <x:c r="I45" s="9" t="str">
        <x:v>pending</x:v>
      </x:c>
      <x:c r="J45" s="9" t="str"/>
      <x:c r="K45" s="24" t="str">
        <x:v>pass</x:v>
      </x:c>
      <x:c r="L45" s="24" t="str">
        <x:v>園內照明故障有夜間照明與通行安全特徵；界線要求確認在公園內，與道路路燈分流。</x:v>
      </x:c>
      <x:c r="M45" s="24" t="str">
        <x:v>是</x:v>
      </x:c>
      <x:c r="N45" s="24" t="str">
        <x:v>中</x:v>
      </x:c>
      <x:c r="O45" s="40" t="str">
        <x:v>revise</x:v>
      </x:c>
      <x:c r="P45" s="41" t="str">
        <x:v>核心可暫留，但邊界或納入條件需補明後再確認。 限一般公園範圍內設施，避免與道路路燈權責混淆。</x:v>
      </x:c>
    </x:row>
    <x:row r="46" ht="26.399999618530273" hidden="0" customHeight="1">
      <x:c r="A46" s="8" t="str">
        <x:v>FAM-PARK-COURT-SURFACE</x:v>
      </x:c>
      <x:c r="B46" s="8" t="str">
        <x:v>新增候選（49）</x:v>
      </x:c>
      <x:c r="C46" s="8" t="str">
        <x:v>一般公園綠地管理及設施維護</x:v>
      </x:c>
      <x:c r="D46" s="8" t="str">
        <x:v>球場或運動場地表面剝落、起伏或標示面破損，非器材故障。</x:v>
      </x:c>
      <x:c r="E46" s="8" t="str">
        <x:v>球場活動區域、表層材質、球員踩踏或球路影響。</x:v>
      </x:c>
      <x:c r="F46" s="8" t="str">
        <x:v>納入：球場或運動場地表面剝落、起伏或標示面破損，非器材故障。
界線／排除：固定器材／圍網故障歸運動設備；場外道路缺陷不歸公園。</x:v>
      </x:c>
      <x:c r="G46" s="8" t="str">
        <x:v>草案界線文字線索，待人工確認：道路凹陷、不平、有高低差</x:v>
      </x:c>
      <x:c r="H46" s="8" t="str">
        <x:v>草案區隔線索：固定器材／圍網故障歸運動設備；場外道路缺陷不歸公園。；候選與既有家族是否有實質差異，待人工判斷。</x:v>
      </x:c>
      <x:c r="I46" s="9" t="str">
        <x:v>pending</x:v>
      </x:c>
      <x:c r="J46" s="9" t="str"/>
      <x:c r="K46" s="24" t="str">
        <x:v>pass</x:v>
      </x:c>
      <x:c r="L46" s="24" t="str">
        <x:v>球場／運動場地鋪面缺陷與器材固定件故障可按受損對象區分，活動使用影響提供實質變化。</x:v>
      </x:c>
      <x:c r="M46" s="24" t="str">
        <x:v>否</x:v>
      </x:c>
      <x:c r="N46" s="24" t="str">
        <x:v>高</x:v>
      </x:c>
      <x:c r="O46" s="40" t="str">
        <x:v>pass</x:v>
      </x:c>
      <x:c r="P46" s="41" t="str">
        <x:v>情境核心「球場或運動場地表面剝落、起伏或標示面破損，非器材故障。」具可辨識案件差異，依建議保留。 保留原 ID 與情境核心，使用現有納入／排除界線。</x:v>
      </x:c>
    </x:row>
    <x:row r="47" ht="15" hidden="0" customHeight="1">
      <x:c r="A47" s="8" t="str">
        <x:v>FAM-WASTE-MISSED-STOP</x:v>
      </x:c>
      <x:c r="B47" s="8" t="str">
        <x:v>既有（26）</x:v>
      </x:c>
      <x:c r="C47" s="8" t="str">
        <x:v>垃圾車清運及服務事項</x:v>
      </x:c>
      <x:c r="D47" s="8" t="str">
        <x:v>民眾在固定等候點等候，未見垃圾車停靠。</x:v>
      </x:c>
      <x:c r="E47" s="8" t="str">
        <x:v>等候時間、平常停靠習慣、是否聽見車輛經過。</x:v>
      </x:c>
      <x:c r="F47" s="8" t="str">
        <x:v>納入：民眾在固定等候點等候，未見垃圾車停靠。
界線／排除：單一固定點未停屬本家族；路面殘留垃圾的清理列路面清潔。</x:v>
      </x:c>
      <x:c r="G47" s="8" t="str">
        <x:v>草案界線文字線索，待人工確認：路面清潔（含行人果皮箱、菸蒂、狗便）</x:v>
      </x:c>
      <x:c r="H47" s="8" t="str">
        <x:v>既有家族，作為 taxonomy 基準；核對此描述是否與 taxonomy_v1.2.1.yaml 一致。</x:v>
      </x:c>
      <x:c r="I47" s="9" t="str">
        <x:v>pending</x:v>
      </x:c>
      <x:c r="J47" s="9" t="str"/>
      <x:c r="K47" s="24" t="str">
        <x:v>pass</x:v>
      </x:c>
      <x:c r="L47" s="24" t="str">
        <x:v>固定點未見垃圾車停靠是服務漏停；與公共路面遺留垃圾的清潔案件界線明確。</x:v>
      </x:c>
      <x:c r="M47" s="24" t="str">
        <x:v>否</x:v>
      </x:c>
      <x:c r="N47" s="24" t="str">
        <x:v>高</x:v>
      </x:c>
      <x:c r="O47" s="40" t="str">
        <x:v>pass</x:v>
      </x:c>
      <x:c r="P47" s="41" t="str">
        <x:v>既有家族依建議維持原定義。 保留原 ID 與情境核心，使用現有納入／排除界線。</x:v>
      </x:c>
    </x:row>
    <x:row r="48" ht="15" hidden="0" customHeight="1">
      <x:c r="A48" s="8" t="str">
        <x:v>FAM-WASTE-ALLEY-ACCESS</x:v>
      </x:c>
      <x:c r="B48" s="8" t="str">
        <x:v>既有（26）</x:v>
      </x:c>
      <x:c r="C48" s="8" t="str">
        <x:v>垃圾車清運及服務事項</x:v>
      </x:c>
      <x:c r="D48" s="8" t="str">
        <x:v>車輛未進入原有巷內收運路段。</x:v>
      </x:c>
      <x:c r="E48" s="8" t="str">
        <x:v>進到哪一段、是否折返、內側住戶如何得知。</x:v>
      </x:c>
      <x:c r="F48" s="8" t="str">
        <x:v>納入：車輛未進入原有巷內收運路段。
界線／排除：若主要訴求是路障／違停本身，另分類；只描述收運服務影響。</x:v>
      </x:c>
      <x:c r="G48" s="8" t="str">
        <x:v>草案未明示其他主類別；請人工確認</x:v>
      </x:c>
      <x:c r="H48" s="8" t="str">
        <x:v>既有家族，作為 taxonomy 基準；核對此描述是否與 taxonomy_v1.2.1.yaml 一致。</x:v>
      </x:c>
      <x:c r="I48" s="9" t="str">
        <x:v>pending</x:v>
      </x:c>
      <x:c r="J48" s="9" t="str"/>
      <x:c r="K48" s="24" t="str">
        <x:v>pass</x:v>
      </x:c>
      <x:c r="L48" s="24" t="str">
        <x:v>巷內既有收運路段未進入的重點是服務路段可及性，與單一停靠點漏停可依受影響範圍區分。</x:v>
      </x:c>
      <x:c r="M48" s="24" t="str">
        <x:v>否</x:v>
      </x:c>
      <x:c r="N48" s="24" t="str">
        <x:v>高</x:v>
      </x:c>
      <x:c r="O48" s="40" t="str">
        <x:v>pass</x:v>
      </x:c>
      <x:c r="P48" s="41" t="str">
        <x:v>既有家族依建議維持原定義。 保留原 ID 與情境核心，使用現有納入／排除界線。</x:v>
      </x:c>
    </x:row>
    <x:row r="49" ht="15" hidden="0" customHeight="1">
      <x:c r="A49" s="8" t="str">
        <x:v>FAM-WASTE-ARRIVAL-TIME</x:v>
      </x:c>
      <x:c r="B49" s="8" t="str">
        <x:v>既有（26）</x:v>
      </x:c>
      <x:c r="C49" s="8" t="str">
        <x:v>垃圾車清運及服務事項</x:v>
      </x:c>
      <x:c r="D49" s="8" t="str">
        <x:v>固定服務點到達時間提早或跨日波動。</x:v>
      </x:c>
      <x:c r="E49" s="8" t="str">
        <x:v>多日觀察、與平常時段差距、住戶等候安排。</x:v>
      </x:c>
      <x:c r="F49" s="8" t="str">
        <x:v>納入：固定服務點到達時間提早或跨日波動。
界線／排除：若整個路段停靠先後改變，優先評估路線順序家族。</x:v>
      </x:c>
      <x:c r="G49" s="8" t="str">
        <x:v>草案未明示其他主類別；請人工確認</x:v>
      </x:c>
      <x:c r="H49" s="8" t="str">
        <x:v>既有家族，作為 taxonomy 基準；核對此描述是否與 taxonomy_v1.2.1.yaml 一致。</x:v>
      </x:c>
      <x:c r="I49" s="9" t="str">
        <x:v>pending</x:v>
      </x:c>
      <x:c r="J49" s="9" t="str"/>
      <x:c r="K49" s="24" t="str">
        <x:v>pass</x:v>
      </x:c>
      <x:c r="L49" s="24" t="str">
        <x:v>到達時間提早或跨日波動以固定點的時間序列為核心；與整條路線先後順序變化已有提示。</x:v>
      </x:c>
      <x:c r="M49" s="24" t="str">
        <x:v>否</x:v>
      </x:c>
      <x:c r="N49" s="24" t="str">
        <x:v>高</x:v>
      </x:c>
      <x:c r="O49" s="40" t="str">
        <x:v>pass</x:v>
      </x:c>
      <x:c r="P49" s="41" t="str">
        <x:v>既有家族依建議維持原定義。 保留原 ID 與情境核心，使用現有納入／排除界線。</x:v>
      </x:c>
    </x:row>
    <x:row r="50" ht="15" hidden="0" customHeight="1">
      <x:c r="A50" s="8" t="str">
        <x:v>FAM-WASTE-STOP-LOCATION</x:v>
      </x:c>
      <x:c r="B50" s="8" t="str">
        <x:v>既有（26）</x:v>
      </x:c>
      <x:c r="C50" s="8" t="str">
        <x:v>垃圾車清運及服務事項</x:v>
      </x:c>
      <x:c r="D50" s="8" t="str">
        <x:v>不清楚目前應在哪個位置等車或看到停靠點變動。</x:v>
      </x:c>
      <x:c r="E50" s="8" t="str">
        <x:v>新住戶、不同出口、原位置與新位置的相對關係。</x:v>
      </x:c>
      <x:c r="F50" s="8" t="str">
        <x:v>納入：不清楚目前應在哪個位置等車或看到停靠點變動。
界線／排除：只問垃圾分類／一般規則不屬本類；不得編造正式停靠點。</x:v>
      </x:c>
      <x:c r="G50" s="8" t="str">
        <x:v>草案未明示其他主類別；請人工確認</x:v>
      </x:c>
      <x:c r="H50" s="8" t="str">
        <x:v>既有家族，作為 taxonomy 基準；核對此描述是否與 taxonomy_v1.2.1.yaml 一致。</x:v>
      </x:c>
      <x:c r="I50" s="9" t="str">
        <x:v>pending</x:v>
      </x:c>
      <x:c r="J50" s="9" t="str"/>
      <x:c r="K50" s="24" t="str">
        <x:v>pass</x:v>
      </x:c>
      <x:c r="L50" s="24" t="str">
        <x:v>不清楚等候點或看到停靠位置改變，與時間及漏停問題可按空間位置不確定性區分。</x:v>
      </x:c>
      <x:c r="M50" s="24" t="str">
        <x:v>否</x:v>
      </x:c>
      <x:c r="N50" s="24" t="str">
        <x:v>高</x:v>
      </x:c>
      <x:c r="O50" s="40" t="str">
        <x:v>pass</x:v>
      </x:c>
      <x:c r="P50" s="41" t="str">
        <x:v>既有家族依建議維持原定義。 保留原 ID 與情境核心，使用現有納入／排除界線。</x:v>
      </x:c>
    </x:row>
    <x:row r="51" ht="15" hidden="0" customHeight="1">
      <x:c r="A51" s="8" t="str">
        <x:v>FAM-WASTE-WEEKEND-SCHEDULE</x:v>
      </x:c>
      <x:c r="B51" s="8" t="str">
        <x:v>既有（26）</x:v>
      </x:c>
      <x:c r="C51" s="8" t="str">
        <x:v>垃圾車清運及服務事項</x:v>
      </x:c>
      <x:c r="D51" s="8" t="str">
        <x:v>詢問週六／週日收運服務與時段。</x:v>
      </x:c>
      <x:c r="E51" s="8" t="str">
        <x:v>週末可等候時間、既往觀察、平日安排差異。</x:v>
      </x:c>
      <x:c r="F51" s="8" t="str">
        <x:v>納入：詢問週六／週日收運服務與時段。
界線／排除：國定假日特別安排候選家族與一般週末區分；非垃圾車政策不混入。</x:v>
      </x:c>
      <x:c r="G51" s="8" t="str">
        <x:v>草案未明示其他主類別；請人工確認</x:v>
      </x:c>
      <x:c r="H51" s="8" t="str">
        <x:v>既有家族，作為 taxonomy 基準；核對此描述是否與 taxonomy_v1.2.1.yaml 一致。</x:v>
      </x:c>
      <x:c r="I51" s="9" t="str">
        <x:v>pending</x:v>
      </x:c>
      <x:c r="J51" s="9" t="str"/>
      <x:c r="K51" s="24" t="str">
        <x:v>pass</x:v>
      </x:c>
      <x:c r="L51" s="24" t="str">
        <x:v>週末服務安排可變化週六／週日與平日差異；國定假日另列有明確時間邊界。</x:v>
      </x:c>
      <x:c r="M51" s="24" t="str">
        <x:v>否</x:v>
      </x:c>
      <x:c r="N51" s="24" t="str">
        <x:v>高</x:v>
      </x:c>
      <x:c r="O51" s="40" t="str">
        <x:v>pass</x:v>
      </x:c>
      <x:c r="P51" s="41" t="str">
        <x:v>既有家族依建議維持原定義。 保留原 ID 與情境核心，使用現有納入／排除界線。</x:v>
      </x:c>
    </x:row>
    <x:row r="52" ht="26.399999618530273" hidden="0" customHeight="1">
      <x:c r="A52" s="8" t="str">
        <x:v>FAM-WASTE-ROUTE-SEGMENT-OMISSION</x:v>
      </x:c>
      <x:c r="B52" s="8" t="str">
        <x:v>新增候選（49）</x:v>
      </x:c>
      <x:c r="C52" s="8" t="str">
        <x:v>垃圾車清運及服務事項</x:v>
      </x:c>
      <x:c r="D52" s="8" t="str">
        <x:v>一整段街廓／社區未見車輛服務，而非單一戶或停靠點漏停。</x:v>
      </x:c>
      <x:c r="E52" s="8" t="str">
        <x:v>受影響的連續範圍、鄰近段是否仍有服務、觀察日期。</x:v>
      </x:c>
      <x:c r="F52" s="8" t="str">
        <x:v>納入：一整段街廓／社區未見車輛服務，而非單一戶或停靠點漏停。
界線／排除：若只有一個固定停靠點未停，歸漏停家族；不推定司機原因。</x:v>
      </x:c>
      <x:c r="G52" s="8" t="str">
        <x:v>草案未明示其他主類別；請人工確認</x:v>
      </x:c>
      <x:c r="H52" s="8" t="str">
        <x:v>草案區隔線索：若只有一個固定停靠點未停，歸漏停家族；不推定司機原因。；候選與既有家族是否有實質差異，待人工判斷。</x:v>
      </x:c>
      <x:c r="I52" s="9" t="str">
        <x:v>pending</x:v>
      </x:c>
      <x:c r="J52" s="9" t="str"/>
      <x:c r="K52" s="24" t="str">
        <x:v>revise</x:v>
      </x:c>
      <x:c r="L52" s="24" t="str">
        <x:v>整段服務缺失與既有單點漏停的範圍差異有意義，但需界定連續路段／多個停靠點的最低證據，避免只把漏停放大描述。</x:v>
      </x:c>
      <x:c r="M52" s="24" t="str">
        <x:v>是</x:v>
      </x:c>
      <x:c r="N52" s="24" t="str">
        <x:v>中</x:v>
      </x:c>
      <x:c r="O52" s="40" t="str">
        <x:v>pass</x:v>
      </x:c>
      <x:c r="P52" s="41" t="str">
        <x:v>情境核心「一整段街廓／社區未見車輛服務，而非單一戶或停靠點漏停。」具可辨識案件差異，依建議保留。 保留原 ID 與情境核心，使用現有納入／排除界線。</x:v>
      </x:c>
    </x:row>
    <x:row r="53" ht="26.399999618530273" hidden="0" customHeight="1">
      <x:c r="A53" s="8" t="str">
        <x:v>FAM-WASTE-SCHEDULED-DAY-OMISSION</x:v>
      </x:c>
      <x:c r="B53" s="8" t="str">
        <x:v>新增候選（49）</x:v>
      </x:c>
      <x:c r="C53" s="8" t="str">
        <x:v>垃圾車清運及服務事項</x:v>
      </x:c>
      <x:c r="D53" s="8" t="str">
        <x:v>原本定期服務的平日或固定服務日未出現。</x:v>
      </x:c>
      <x:c r="E53" s="8" t="str">
        <x:v>連續幾週是否發生、該日是否原有班次、住戶如何確認。</x:v>
      </x:c>
      <x:c r="F53" s="8" t="str">
        <x:v>納入：原本定期服務的平日或固定服務日未出現。
界線／排除：週末／假日服務疑問歸既有週末家族；不得替民眾確認官方班表。</x:v>
      </x:c>
      <x:c r="G53" s="8" t="str">
        <x:v>草案未明示其他主類別；請人工確認</x:v>
      </x:c>
      <x:c r="H53" s="8" t="str">
        <x:v>草案區隔線索：週末／假日服務疑問歸既有週末家族；不得替民眾確認官方班表。；候選與既有家族是否有實質差異，待人工判斷。</x:v>
      </x:c>
      <x:c r="I53" s="9" t="str">
        <x:v>pending</x:v>
      </x:c>
      <x:c r="J53" s="9" t="str"/>
      <x:c r="K53" s="24" t="str">
        <x:v>revise</x:v>
      </x:c>
      <x:c r="L53" s="24" t="str">
        <x:v>固定服務日未出現可能同時落入單點漏停、路段漏收或週末安排；目前依日期而非服務型態區分，建議增加必須有既定固定日的可驗證條件。</x:v>
      </x:c>
      <x:c r="M53" s="24" t="str">
        <x:v>是</x:v>
      </x:c>
      <x:c r="N53" s="24" t="str">
        <x:v>低</x:v>
      </x:c>
      <x:c r="O53" s="40" t="str">
        <x:v>merge</x:v>
      </x:c>
      <x:c r="P53" s="41" t="str">
        <x:v>建議不保留為獨立家族，情境改作目標家族的變化案例。 併入 FAM-WASTE-MISSED-STOP；併入 FAM-WASTE-ROUTE-SEGMENT-OMISSION。依實際範圍併入漏停或整段未服務。</x:v>
      </x:c>
    </x:row>
    <x:row r="54" ht="26.399999618530273" hidden="0" customHeight="1">
      <x:c r="A54" s="8" t="str">
        <x:v>FAM-WASTE-PARTIAL-COLLECTION</x:v>
      </x:c>
      <x:c r="B54" s="8" t="str">
        <x:v>新增候選（49）</x:v>
      </x:c>
      <x:c r="C54" s="8" t="str">
        <x:v>垃圾車清運及服務事項</x:v>
      </x:c>
      <x:c r="D54" s="8" t="str">
        <x:v>車輛已停靠並收取部分垃圾，但留下其他原本等候清運的部分。</x:v>
      </x:c>
      <x:c r="E54" s="8" t="str">
        <x:v>哪類／哪一側未收、車輛是否完整停靠、是否有可見限制。</x:v>
      </x:c>
      <x:c r="F54" s="8" t="str">
        <x:v>納入：車輛已停靠並收取部分垃圾，但留下其他原本等候清運的部分。
界線／排除：留在地面的垃圾清掃列路面清潔；回收規則諮詢不列此家族。</x:v>
      </x:c>
      <x:c r="G54" s="8" t="str">
        <x:v>草案界線文字線索，待人工確認：路面清潔（含行人果皮箱、菸蒂、狗便）</x:v>
      </x:c>
      <x:c r="H54" s="8" t="str">
        <x:v>草案區隔線索：留在地面的垃圾清掃列路面清潔；回收規則諮詢不列此家族。；候選與既有家族是否有實質差異，待人工判斷。</x:v>
      </x:c>
      <x:c r="I54" s="9" t="str">
        <x:v>pending</x:v>
      </x:c>
      <x:c r="J54" s="9" t="str"/>
      <x:c r="K54" s="24" t="str">
        <x:v>pass</x:v>
      </x:c>
      <x:c r="L54" s="24" t="str">
        <x:v>車輛已停靠且只收走部分待收物，是服務執行不完整；和留在路面的清掃問題有明確權責界線。</x:v>
      </x:c>
      <x:c r="M54" s="24" t="str">
        <x:v>是</x:v>
      </x:c>
      <x:c r="N54" s="24" t="str">
        <x:v>中</x:v>
      </x:c>
      <x:c r="O54" s="40" t="str">
        <x:v>pass</x:v>
      </x:c>
      <x:c r="P54" s="41" t="str">
        <x:v>情境核心「車輛已停靠並收取部分垃圾，但留下其他原本等候清運的部分。」具可辨識案件差異，依建議保留。 保留原 ID 與情境核心，使用現有納入／排除界線。</x:v>
      </x:c>
    </x:row>
    <x:row r="55" ht="15" hidden="0" customHeight="1">
      <x:c r="A55" s="8" t="str">
        <x:v>FAM-WASTE-SHORT-DWELL</x:v>
      </x:c>
      <x:c r="B55" s="8" t="str">
        <x:v>新增候選（49）</x:v>
      </x:c>
      <x:c r="C55" s="8" t="str">
        <x:v>垃圾車清運及服務事項</x:v>
      </x:c>
      <x:c r="D55" s="8" t="str">
        <x:v>車輛在正常停靠點停留過短，民眾到達時車已離開。</x:v>
      </x:c>
      <x:c r="E55" s="8" t="str">
        <x:v>從聽見訊號到抵達所需時間、是否看到車、重複頻率。</x:v>
      </x:c>
      <x:c r="F55" s="8" t="str">
        <x:v>納入：車輛在正常停靠點停留過短，民眾到達時車已離開。
界線／排除：車輛完全未到屬漏停；主訴須是停留／服務可及性，不評判個人責任。</x:v>
      </x:c>
      <x:c r="G55" s="8" t="str">
        <x:v>草案未明示其他主類別；請人工確認</x:v>
      </x:c>
      <x:c r="H55" s="8" t="str">
        <x:v>草案區隔線索：車輛完全未到屬漏停；主訴須是停留／服務可及性，不評判個人責任。；候選與既有家族是否有實質差異，待人工判斷。</x:v>
      </x:c>
      <x:c r="I55" s="9" t="str">
        <x:v>pending</x:v>
      </x:c>
      <x:c r="J55" s="9" t="str"/>
      <x:c r="K55" s="24" t="str">
        <x:v>revise</x:v>
      </x:c>
      <x:c r="L55" s="24" t="str">
        <x:v>停留過短與固定點漏停容易在來電者未親眼看到車時混淆；建議要求可觀察到車輛已停靠並迅速離開的證據。</x:v>
      </x:c>
      <x:c r="M55" s="24" t="str">
        <x:v>是</x:v>
      </x:c>
      <x:c r="N55" s="24" t="str">
        <x:v>中</x:v>
      </x:c>
      <x:c r="O55" s="40" t="str">
        <x:v>revise</x:v>
      </x:c>
      <x:c r="P55" s="41" t="str">
        <x:v>核心可暫留，但邊界或納入條件需補明後再確認。 須確認車輛有停靠但停留不足，否則併入漏停。</x:v>
      </x:c>
    </x:row>
    <x:row r="56" ht="26.399999618530273" hidden="0" customHeight="1">
      <x:c r="A56" s="8" t="str">
        <x:v>FAM-WASTE-TEMP-STOP-RELOCATION</x:v>
      </x:c>
      <x:c r="B56" s="8" t="str">
        <x:v>新增候選（49）</x:v>
      </x:c>
      <x:c r="C56" s="8" t="str">
        <x:v>垃圾車清運及服務事項</x:v>
      </x:c>
      <x:c r="D56" s="8" t="str">
        <x:v>臨時情況下停靠點移至附近位置，居民不確定是否為暫時安排。</x:v>
      </x:c>
      <x:c r="E56" s="8" t="str">
        <x:v>原點／新點、何時看到改變、是否收到通知。</x:v>
      </x:c>
      <x:c r="F56" s="8" t="str">
        <x:v>納入：臨時情況下停靠點移至附近位置，居民不確定是否為暫時安排。
界線／排除：長期固定點查詢歸停靠位置；若主訴是施工或封路另分類。</x:v>
      </x:c>
      <x:c r="G56" s="8" t="str">
        <x:v>草案未明示其他主類別；請人工確認</x:v>
      </x:c>
      <x:c r="H56" s="8" t="str">
        <x:v>草案區隔線索：長期固定點查詢歸停靠位置；若主訴是施工或封路另分類。；候選與既有家族是否有實質差異，待人工判斷。</x:v>
      </x:c>
      <x:c r="I56" s="9" t="str">
        <x:v>pending</x:v>
      </x:c>
      <x:c r="J56" s="9" t="str"/>
      <x:c r="K56" s="24" t="str">
        <x:v>pass</x:v>
      </x:c>
      <x:c r="L56" s="24" t="str">
        <x:v>臨時改到附近停靠點且是否暫時不明，與長期停靠點查詢有時間性差異，且不只替換地點。</x:v>
      </x:c>
      <x:c r="M56" s="24" t="str">
        <x:v>否</x:v>
      </x:c>
      <x:c r="N56" s="24" t="str">
        <x:v>高</x:v>
      </x:c>
      <x:c r="O56" s="40" t="str">
        <x:v>merge</x:v>
      </x:c>
      <x:c r="P56" s="41" t="str">
        <x:v>建議不保留為獨立家族，情境改作目標家族的變化案例。 併入 FAM-WASTE-STOP-LOCATION。臨時停靠點移動併入停靠位置。</x:v>
      </x:c>
    </x:row>
    <x:row r="57" ht="26.399999618530273" hidden="0" customHeight="1">
      <x:c r="A57" s="8" t="str">
        <x:v>FAM-WASTE-ROUTE-ORDER-CHANGE</x:v>
      </x:c>
      <x:c r="B57" s="8" t="str">
        <x:v>新增候選（49）</x:v>
      </x:c>
      <x:c r="C57" s="8" t="str">
        <x:v>垃圾車清運及服務事項</x:v>
      </x:c>
      <x:c r="D57" s="8" t="str">
        <x:v>車輛服務順序改變，使同一路線上的區段到達先後不同。</x:v>
      </x:c>
      <x:c r="E57" s="8" t="str">
        <x:v>以往順序、最近觀察到的次序、受影響的社區段。</x:v>
      </x:c>
      <x:c r="F57" s="8" t="str">
        <x:v>納入：車輛服務順序改變，使同一路線上的區段到達先後不同。
界線／排除：只有到達時間早晚波動歸時間家族；若無法證明順序，不推定路線改動。</x:v>
      </x:c>
      <x:c r="G57" s="8" t="str">
        <x:v>草案未明示其他主類別；請人工確認</x:v>
      </x:c>
      <x:c r="H57" s="8" t="str">
        <x:v>草案區隔線索：只有到達時間早晚波動歸時間家族；若無法證明順序，不推定路線改動。；候選與既有家族是否有實質差異，待人工判斷。</x:v>
      </x:c>
      <x:c r="I57" s="9" t="str">
        <x:v>pending</x:v>
      </x:c>
      <x:c r="J57" s="9" t="str"/>
      <x:c r="K57" s="24" t="str">
        <x:v>revise</x:v>
      </x:c>
      <x:c r="L57" s="24" t="str">
        <x:v>路線順序改變與單點到達時間波動容易混淆，且現有界線要求證明先後次序；建議明確列出至少兩個服務區段的可比較觀察。</x:v>
      </x:c>
      <x:c r="M57" s="24" t="str">
        <x:v>是</x:v>
      </x:c>
      <x:c r="N57" s="24" t="str">
        <x:v>低</x:v>
      </x:c>
      <x:c r="O57" s="40" t="str">
        <x:v>revise</x:v>
      </x:c>
      <x:c r="P57" s="41" t="str">
        <x:v>核心可暫留，但邊界或納入條件需補明後再確認。 須觀察到多個停靠點順序改變，否則併入到達時間變動。</x:v>
      </x:c>
    </x:row>
    <x:row r="58" ht="26.399999618530273" hidden="0" customHeight="1">
      <x:c r="A58" s="8" t="str">
        <x:v>FAM-WASTE-HOLIDAY-SCHEDULE</x:v>
      </x:c>
      <x:c r="B58" s="8" t="str">
        <x:v>新增候選（49）</x:v>
      </x:c>
      <x:c r="C58" s="8" t="str">
        <x:v>垃圾車清運及服務事項</x:v>
      </x:c>
      <x:c r="D58" s="8" t="str">
        <x:v>國定假日或連假期間的垃圾車服務是否停收、調整或補收。</x:v>
      </x:c>
      <x:c r="E58" s="8" t="str">
        <x:v>假日類型、前後服務日、民眾想確認的安排。</x:v>
      </x:c>
      <x:c r="F58" s="8" t="str">
        <x:v>納入：國定假日或連假期間的垃圾車服務是否停收、調整或補收。
界線／排除：一般週末時段歸既有週末家族；不要提供未查證的官方時刻表答案。</x:v>
      </x:c>
      <x:c r="G58" s="8" t="str">
        <x:v>草案未明示其他主類別；請人工確認</x:v>
      </x:c>
      <x:c r="H58" s="8" t="str">
        <x:v>草案區隔線索：一般週末時段歸既有週末家族；不要提供未查證的官方時刻表答案。；候選與既有家族是否有實質差異，待人工判斷。</x:v>
      </x:c>
      <x:c r="I58" s="9" t="str">
        <x:v>pending</x:v>
      </x:c>
      <x:c r="J58" s="9" t="str"/>
      <x:c r="K58" s="24" t="str">
        <x:v>pass</x:v>
      </x:c>
      <x:c r="L58" s="24" t="str">
        <x:v>國定假日／連假服務安排與一般週末安排有清楚日期條件，情境可按假日型態與前後服務日變化。</x:v>
      </x:c>
      <x:c r="M58" s="24" t="str">
        <x:v>否</x:v>
      </x:c>
      <x:c r="N58" s="24" t="str">
        <x:v>高</x:v>
      </x:c>
      <x:c r="O58" s="40" t="str">
        <x:v>merge</x:v>
      </x:c>
      <x:c r="P58" s="41" t="str">
        <x:v>建議不保留為獨立家族，情境改作目標家族的變化案例。 併入 FAM-WASTE-WEEKEND-SCHEDULE。假日服務安排併入週末服務。</x:v>
      </x:c>
    </x:row>
    <x:row r="59" ht="26.399999618530273" hidden="0" customHeight="1">
      <x:c r="A59" s="8" t="str">
        <x:v>FAM-WASTE-COLLECTION-CUE-FAILURE</x:v>
      </x:c>
      <x:c r="B59" s="8" t="str">
        <x:v>新增候選（49）</x:v>
      </x:c>
      <x:c r="C59" s="8" t="str">
        <x:v>垃圾車清運及服務事項</x:v>
      </x:c>
      <x:c r="D59" s="8" t="str">
        <x:v>車輛仍停靠或經過，但慣用的音樂／提醒訊號未播放或難以辨識，影響居民到場。</x:v>
      </x:c>
      <x:c r="E59" s="8" t="str">
        <x:v>是否看見車、訊號缺失頻率、周邊噪音與抵達距離。</x:v>
      </x:c>
      <x:c r="F59" s="8" t="str">
        <x:v>納入：車輛仍停靠或經過，但慣用的音樂／提醒訊號未播放或難以辨識，影響居民到場。
界線／排除：若主訴是音量擾民列噪音；須以收運服務可達性為主訴。</x:v>
      </x:c>
      <x:c r="G59" s="8" t="str">
        <x:v>草案未明示其他主類別；請人工確認</x:v>
      </x:c>
      <x:c r="H59" s="8" t="str">
        <x:v>草案區隔線索：若主訴是音量擾民列噪音；須以收運服務可達性為主訴。；候選與既有家族是否有實質差異，待人工判斷。</x:v>
      </x:c>
      <x:c r="I59" s="9" t="str">
        <x:v>pending</x:v>
      </x:c>
      <x:c r="J59" s="9" t="str"/>
      <x:c r="K59" s="24" t="str">
        <x:v>pass</x:v>
      </x:c>
      <x:c r="L59" s="24" t="str">
        <x:v>車輛仍到達但提醒訊號缺失，造成民眾無法及時到場，和漏停／音量擾民有不同服務機制。</x:v>
      </x:c>
      <x:c r="M59" s="24" t="str">
        <x:v>是</x:v>
      </x:c>
      <x:c r="N59" s="24" t="str">
        <x:v>中</x:v>
      </x:c>
      <x:c r="O59" s="40" t="str">
        <x:v>pass</x:v>
      </x:c>
      <x:c r="P59" s="41" t="str">
        <x:v>情境核心「車輛仍停靠或經過，但慣用的音樂／提醒訊號未播放或難以辨識，影響居民到場。」具可辨識案件差異，依建議保留。 保留原 ID 與情境核心，使用現有納入／排除界線。</x:v>
      </x:c>
    </x:row>
    <x:row r="60" ht="52.79999923706055" hidden="0" customHeight="1">
      <x:c r="A60" s="8" t="str">
        <x:v>FAM-WASTE-RECYCLABLE-STREAM-SERVICE</x:v>
      </x:c>
      <x:c r="B60" s="8" t="str">
        <x:v>新增候選（49）</x:v>
      </x:c>
      <x:c r="C60" s="8" t="str">
        <x:v>垃圾車清運及服務事項</x:v>
      </x:c>
      <x:c r="D60" s="8" t="str">
        <x:v>民眾詢問不同收運車次／回收車次是否到達固定點，焦點是車輛服務安排。</x:v>
      </x:c>
      <x:c r="E60" s="8" t="str">
        <x:v>當天觀察、車種識別的不確定性、不同車次的等候方式。</x:v>
      </x:c>
      <x:c r="F60" s="8" t="str">
        <x:v>納入：民眾詢問不同收運車次／回收車次是否到達固定點，焦點是車輛服務安排。
界線／排除：回收分類、可收物或政策規定不列本類；若只是一般垃圾車屬既有家族。</x:v>
      </x:c>
      <x:c r="G60" s="8" t="str">
        <x:v>草案未明示其他主類別；請人工確認</x:v>
      </x:c>
      <x:c r="H60" s="8" t="str">
        <x:v>草案區隔線索：回收分類、可收物或政策規定不列本類；若只是一般垃圾車屬既有家族。；候選與既有家族是否有實質差異，待人工判斷。</x:v>
      </x:c>
      <x:c r="I60" s="9" t="str">
        <x:v>pending</x:v>
      </x:c>
      <x:c r="J60" s="9" t="str"/>
      <x:c r="K60" s="24" t="str">
        <x:v>revise</x:v>
      </x:c>
      <x:c r="L60" s="24" t="str">
        <x:v>回收車次是按車種／資源流分類，可能只是收運服務的車種變體，也可能落入回收政策諮詢；建議限定實際車次是否到達或停靠，不以車種名稱單獨成家族。</x:v>
      </x:c>
      <x:c r="M60" s="24" t="str">
        <x:v>是</x:v>
      </x:c>
      <x:c r="N60" s="24" t="str">
        <x:v>低</x:v>
      </x:c>
      <x:c r="O60" s="40" t="str">
        <x:v>merge</x:v>
      </x:c>
      <x:c r="P60" s="41" t="str">
        <x:v>建議不保留為獨立家族，情境改作目標家族的變化案例。 併入 FAM-WASTE-ARRIVAL-TIME；併入 FAM-WASTE-MISSED-STOP；併入 FAM-WASTE-STOP-LOCATION。依實際問題併入到達時間、漏停或停靠位置；不生成回收分類政策諮詢。</x:v>
      </x:c>
    </x:row>
    <x:row r="61" ht="15" hidden="0" customHeight="1">
      <x:c r="A61" s="8" t="str">
        <x:v>FAM-WASTE-ACCESS-INTERRUPTION</x:v>
      </x:c>
      <x:c r="B61" s="8" t="str">
        <x:v>新增候選（49）</x:v>
      </x:c>
      <x:c r="C61" s="8" t="str">
        <x:v>垃圾車清運及服務事項</x:v>
      </x:c>
      <x:c r="D61" s="8" t="str">
        <x:v>臨時道路封閉或通行限制使原服務路段當次無法進入。</x:v>
      </x:c>
      <x:c r="E61" s="8" t="str">
        <x:v>封閉持續時間、是否有替代停靠、居民如何收到服務。</x:v>
      </x:c>
      <x:c r="F61" s="8" t="str">
        <x:v>納入：臨時道路封閉或通行限制使原服務路段當次無法進入。
界線／排除：若主訴是道路封閉／施工管理另分類；若只是狹巷未進入且無臨時限制，併入巷弄進入家族。</x:v>
      </x:c>
      <x:c r="G61" s="8" t="str">
        <x:v>草案界線文字線索，待人工確認：道路凹陷、不平、有高低差</x:v>
      </x:c>
      <x:c r="H61" s="8" t="str">
        <x:v>草案區隔線索：若主訴是道路封閉／施工管理另分類；若只是狹巷未進入且無臨時限制，併入巷弄進入家族。；候選與既有家族是否有實質差異，待人工判斷。</x:v>
      </x:c>
      <x:c r="I61" s="9" t="str">
        <x:v>pending</x:v>
      </x:c>
      <x:c r="J61" s="9" t="str"/>
      <x:c r="K61" s="24" t="str">
        <x:v>pass</x:v>
      </x:c>
      <x:c r="L61" s="24" t="str">
        <x:v>臨時封路使原路段當次無法進入，與常態巷弄未進入有不同原因及時間性；需將道路封閉本身維持為背景。</x:v>
      </x:c>
      <x:c r="M61" s="24" t="str">
        <x:v>是</x:v>
      </x:c>
      <x:c r="N61" s="24" t="str">
        <x:v>中</x:v>
      </x:c>
      <x:c r="O61" s="40" t="str">
        <x:v>revise</x:v>
      </x:c>
      <x:c r="P61" s="41" t="str">
        <x:v>核心可暫留，但邊界或納入條件需補明後再確認。 主訴須是收運服務受影響，不是道路封閉本身。</x:v>
      </x:c>
    </x:row>
    <x:row r="62" ht="15" hidden="0" customHeight="1">
      <x:c r="A62" s="8" t="str">
        <x:v>FAM-CLEAN-BIN-OVERFLOW</x:v>
      </x:c>
      <x:c r="B62" s="8" t="str">
        <x:v>既有（26）</x:v>
      </x:c>
      <x:c r="C62" s="8" t="str">
        <x:v>路面清潔（含行人果皮箱、菸蒂、狗便）</x:v>
      </x:c>
      <x:c r="D62" s="8" t="str">
        <x:v>公共果皮箱容量滿溢，垃圾堆到箱外或箱口。</x:v>
      </x:c>
      <x:c r="E62" s="8" t="str">
        <x:v>外溢量、持續多久、行人是否需要繞行。</x:v>
      </x:c>
      <x:c r="F62" s="8" t="str">
        <x:v>納入：公共果皮箱容量滿溢，垃圾堆到箱外或箱口。
界線／排除：箱體部件損壞造成漏出歸果皮箱損壞；家用垃圾收運問題列垃圾車服務。</x:v>
      </x:c>
      <x:c r="G62" s="8" t="str">
        <x:v>草案界線文字線索，待人工確認：垃圾車清運及服務事項</x:v>
      </x:c>
      <x:c r="H62" s="8" t="str">
        <x:v>既有家族，作為 taxonomy 基準；核對此描述是否與 taxonomy_v1.2.1.yaml 一致。</x:v>
      </x:c>
      <x:c r="I62" s="9" t="str">
        <x:v>pending</x:v>
      </x:c>
      <x:c r="J62" s="9" t="str"/>
      <x:c r="K62" s="24" t="str">
        <x:v>pass</x:v>
      </x:c>
      <x:c r="L62" s="24" t="str">
        <x:v>公共果皮箱容量滿溢與箱體部件損壞已明確分開；家用垃圾收運問題排除。</x:v>
      </x:c>
      <x:c r="M62" s="24" t="str">
        <x:v>否</x:v>
      </x:c>
      <x:c r="N62" s="24" t="str">
        <x:v>高</x:v>
      </x:c>
      <x:c r="O62" s="40" t="str">
        <x:v>pass</x:v>
      </x:c>
      <x:c r="P62" s="41" t="str">
        <x:v>既有家族依建議維持原定義。 保留原 ID 與情境核心，使用現有納入／排除界線。</x:v>
      </x:c>
    </x:row>
    <x:row r="63" ht="15" hidden="0" customHeight="1">
      <x:c r="A63" s="8" t="str">
        <x:v>FAM-CLEAN-BIN-DAMAGE</x:v>
      </x:c>
      <x:c r="B63" s="8" t="str">
        <x:v>既有（26）</x:v>
      </x:c>
      <x:c r="C63" s="8" t="str">
        <x:v>路面清潔（含行人果皮箱、菸蒂、狗便）</x:v>
      </x:c>
      <x:c r="D63" s="8" t="str">
        <x:v>公共果皮箱本體故障導致周圍散落垃圾。</x:v>
      </x:c>
      <x:c r="E63" s="8" t="str">
        <x:v>內桶、箱蓋、箱身固定狀況及垃圾漏出的方向。</x:v>
      </x:c>
      <x:c r="F63" s="8" t="str">
        <x:v>納入：公共果皮箱本體故障導致周圍散落垃圾。
界線／排除：單純容量滿溢歸果皮箱滿溢；私人垃圾桶不列公共清潔。</x:v>
      </x:c>
      <x:c r="G63" s="8" t="str">
        <x:v>草案未明示其他主類別；請人工確認</x:v>
      </x:c>
      <x:c r="H63" s="8" t="str">
        <x:v>既有家族，作為 taxonomy 基準；核對此描述是否與 taxonomy_v1.2.1.yaml 一致。</x:v>
      </x:c>
      <x:c r="I63" s="9" t="str">
        <x:v>pending</x:v>
      </x:c>
      <x:c r="J63" s="9" t="str"/>
      <x:c r="K63" s="24" t="str">
        <x:v>pass</x:v>
      </x:c>
      <x:c r="L63" s="24" t="str">
        <x:v>公共果皮箱本體故障導致散落，與單純滿溢有設備原因及可觀察部件差異。</x:v>
      </x:c>
      <x:c r="M63" s="24" t="str">
        <x:v>否</x:v>
      </x:c>
      <x:c r="N63" s="24" t="str">
        <x:v>高</x:v>
      </x:c>
      <x:c r="O63" s="40" t="str">
        <x:v>pass</x:v>
      </x:c>
      <x:c r="P63" s="41" t="str">
        <x:v>既有家族依建議維持原定義。 保留原 ID 與情境核心，使用現有納入／排除界線。</x:v>
      </x:c>
    </x:row>
    <x:row r="64" ht="15" hidden="0" customHeight="1">
      <x:c r="A64" s="8" t="str">
        <x:v>FAM-CLEAN-CIGARETTE</x:v>
      </x:c>
      <x:c r="B64" s="8" t="str">
        <x:v>既有（26）</x:v>
      </x:c>
      <x:c r="C64" s="8" t="str">
        <x:v>路面清潔（含行人果皮箱、菸蒂、狗便）</x:v>
      </x:c>
      <x:c r="D64" s="8" t="str">
        <x:v>公共路面反覆累積菸蒂。</x:v>
      </x:c>
      <x:c r="E64" s="8" t="str">
        <x:v>固定角落或通行帶、清掃後再出現的時間、集中或散落。</x:v>
      </x:c>
      <x:c r="F64" s="8" t="str">
        <x:v>納入：公共路面反覆累積菸蒂。
界線／排除：其他一般垃圾歸路面髒污家族；私人場所排除。</x:v>
      </x:c>
      <x:c r="G64" s="8" t="str">
        <x:v>草案未明示其他主類別；請人工確認</x:v>
      </x:c>
      <x:c r="H64" s="8" t="str">
        <x:v>既有家族，作為 taxonomy 基準；核對此描述是否與 taxonomy_v1.2.1.yaml 一致。</x:v>
      </x:c>
      <x:c r="I64" s="9" t="str">
        <x:v>pending</x:v>
      </x:c>
      <x:c r="J64" s="9" t="str"/>
      <x:c r="K64" s="24" t="str">
        <x:v>pass</x:v>
      </x:c>
      <x:c r="L64" s="24" t="str">
        <x:v>公共路面菸蒂反覆累積有固定清潔對象與清掃週期，和一般垃圾堆積可區分。</x:v>
      </x:c>
      <x:c r="M64" s="24" t="str">
        <x:v>否</x:v>
      </x:c>
      <x:c r="N64" s="24" t="str">
        <x:v>高</x:v>
      </x:c>
      <x:c r="O64" s="40" t="str">
        <x:v>pass</x:v>
      </x:c>
      <x:c r="P64" s="41" t="str">
        <x:v>既有家族依建議維持原定義。 保留原 ID 與情境核心，使用現有納入／排除界線。</x:v>
      </x:c>
    </x:row>
    <x:row r="65" ht="15" hidden="0" customHeight="1">
      <x:c r="A65" s="8" t="str">
        <x:v>FAM-CLEAN-DOG-WASTE</x:v>
      </x:c>
      <x:c r="B65" s="8" t="str">
        <x:v>既有（26）</x:v>
      </x:c>
      <x:c r="C65" s="8" t="str">
        <x:v>路面清潔（含行人果皮箱、菸蒂、狗便）</x:v>
      </x:c>
      <x:c r="D65" s="8" t="str">
        <x:v>公共人行面有未清理狗便，造成行人避讓或衛生疑慮。</x:v>
      </x:c>
      <x:c r="E65" s="8" t="str">
        <x:v>新鮮／乾掉、單點／多點、是否反覆出現及通行影響。</x:v>
      </x:c>
      <x:c r="F65" s="8" t="str">
        <x:v>納入：公共人行面有未清理狗便，造成行人避讓或衛生疑慮。
界線／排除：若主訴是飼主違規稽查而非清潔，需另分類；僅描述公共路面清理。</x:v>
      </x:c>
      <x:c r="G65" s="8" t="str">
        <x:v>草案未明示其他主類別；請人工確認</x:v>
      </x:c>
      <x:c r="H65" s="8" t="str">
        <x:v>既有家族，作為 taxonomy 基準；核對此描述是否與 taxonomy_v1.2.1.yaml 一致。</x:v>
      </x:c>
      <x:c r="I65" s="9" t="str">
        <x:v>pending</x:v>
      </x:c>
      <x:c r="J65" s="9" t="str"/>
      <x:c r="K65" s="24" t="str">
        <x:v>pass</x:v>
      </x:c>
      <x:c r="L65" s="24" t="str">
        <x:v>公共人行面狗便清潔是明確衛生主訴，與飼主稽查有界線；新舊及單點／多點提供變化。</x:v>
      </x:c>
      <x:c r="M65" s="24" t="str">
        <x:v>否</x:v>
      </x:c>
      <x:c r="N65" s="24" t="str">
        <x:v>高</x:v>
      </x:c>
      <x:c r="O65" s="40" t="str">
        <x:v>pass</x:v>
      </x:c>
      <x:c r="P65" s="41" t="str">
        <x:v>既有家族依建議維持原定義。 保留原 ID 與情境核心，使用現有納入／排除界線。</x:v>
      </x:c>
    </x:row>
    <x:row r="66" ht="15" hidden="0" customHeight="1">
      <x:c r="A66" s="8" t="str">
        <x:v>FAM-CLEAN-SURFACE-DEBRIS</x:v>
      </x:c>
      <x:c r="B66" s="8" t="str">
        <x:v>既有（26）</x:v>
      </x:c>
      <x:c r="C66" s="8" t="str">
        <x:v>路面清潔（含行人果皮箱、菸蒂、狗便）</x:v>
      </x:c>
      <x:c r="D66" s="8" t="str">
        <x:v>公共路面一般髒污、飲料／食物殘留、落葉泥土或散落物。</x:v>
      </x:c>
      <x:c r="E66" s="8" t="str">
        <x:v>是否黏滑、濕乾變化、來源是否可見、清掃後是否再現。</x:v>
      </x:c>
      <x:c r="F66" s="8" t="str">
        <x:v>納入：公共路面一般髒污、飲料／食物殘留、落葉泥土或散落物。
界線／排除：垃圾車漏收不歸本類；私人室內、危險物質外洩需另分類。</x:v>
      </x:c>
      <x:c r="G66" s="8" t="str">
        <x:v>草案界線文字線索，待人工確認：垃圾車清運及服務事項</x:v>
      </x:c>
      <x:c r="H66" s="8" t="str">
        <x:v>既有家族，作為 taxonomy 基準；核對此描述是否與 taxonomy_v1.2.1.yaml 一致。</x:v>
      </x:c>
      <x:c r="I66" s="9" t="str">
        <x:v>pending</x:v>
      </x:c>
      <x:c r="J66" s="9" t="str"/>
      <x:c r="K66" s="24" t="str">
        <x:v>pass</x:v>
      </x:c>
      <x:c r="L66" s="24" t="str">
        <x:v>一般公共路面髒污可作為非特定清潔問題的基底；需避免把已有專屬家族的菸蒂、狗便或果皮箱問題併入。</x:v>
      </x:c>
      <x:c r="M66" s="24" t="str">
        <x:v>否</x:v>
      </x:c>
      <x:c r="N66" s="24" t="str">
        <x:v>高</x:v>
      </x:c>
      <x:c r="O66" s="40" t="str">
        <x:v>pass</x:v>
      </x:c>
      <x:c r="P66" s="41" t="str">
        <x:v>既有家族依建議維持原定義。 保留原 ID 與情境核心，使用現有納入／排除界線。</x:v>
      </x:c>
    </x:row>
    <x:row r="67" ht="26.399999618530273" hidden="0" customHeight="1">
      <x:c r="A67" s="8" t="str">
        <x:v>FAM-CLEAN-EVENT-PACKAGING</x:v>
      </x:c>
      <x:c r="B67" s="8" t="str">
        <x:v>新增候選（49）</x:v>
      </x:c>
      <x:c r="C67" s="8" t="str">
        <x:v>路面清潔（含行人果皮箱、菸蒂、狗便）</x:v>
      </x:c>
      <x:c r="D67" s="8" t="str">
        <x:v>公共活動或人群散去後，短時間內在公共通行面留下大量包裝與紙屑。</x:v>
      </x:c>
      <x:c r="E67" s="8" t="str">
        <x:v>活動結束後時間、散布範圍、一般通行是否受阻。</x:v>
      </x:c>
      <x:c r="F67" s="8" t="str">
        <x:v>納入：公共活動或人群散去後，短時間內在公共通行面留下大量包裝與紙屑。
界線／排除：不只以包裝材質區分；若僅是果皮箱滿溢造成，併入滿溢家族。</x:v>
      </x:c>
      <x:c r="G67" s="8" t="str">
        <x:v>草案未明示其他主類別；請人工確認</x:v>
      </x:c>
      <x:c r="H67" s="8" t="str">
        <x:v>草案區隔線索：不只以包裝材質區分；若僅是果皮箱滿溢造成，併入滿溢家族。；候選與既有家族是否有實質差異，待人工判斷。</x:v>
      </x:c>
      <x:c r="I67" s="9" t="str">
        <x:v>pending</x:v>
      </x:c>
      <x:c r="J67" s="9" t="str"/>
      <x:c r="K67" s="24" t="str">
        <x:v>revise</x:v>
      </x:c>
      <x:c r="L67" s="24" t="str">
        <x:v>活動後大量包裝散落可代表集中清掃情境，但也可能只是一般髒污換成活動／包裝名詞；建議以短時間大範圍集中清理需求作必要條件。</x:v>
      </x:c>
      <x:c r="M67" s="24" t="str">
        <x:v>是</x:v>
      </x:c>
      <x:c r="N67" s="24" t="str">
        <x:v>中</x:v>
      </x:c>
      <x:c r="O67" s="40" t="str">
        <x:v>merge</x:v>
      </x:c>
      <x:c r="P67" s="41" t="str">
        <x:v>建議不保留為獨立家族，情境改作目標家族的變化案例。 併入 FAM-CLEAN-SURFACE-DEBRIS。活動包裝併入一般路面散落物。</x:v>
      </x:c>
    </x:row>
    <x:row r="68" ht="26.399999618530273" hidden="0" customHeight="1">
      <x:c r="A68" s="8" t="str">
        <x:v>FAM-CLEAN-SHARP-GLASS</x:v>
      </x:c>
      <x:c r="B68" s="8" t="str">
        <x:v>新增候選（49）</x:v>
      </x:c>
      <x:c r="C68" s="8" t="str">
        <x:v>路面清潔（含行人果皮箱、菸蒂、狗便）</x:v>
      </x:c>
      <x:c r="D68" s="8" t="str">
        <x:v>公共通行面有破玻璃或尖銳碎片，需要特別避讓清理。</x:v>
      </x:c>
      <x:c r="E68" s="8" t="str">
        <x:v>碎片數量、範圍、是否在輪椅／自行車路徑、是否有大件容器。</x:v>
      </x:c>
      <x:c r="F68" s="8" t="str">
        <x:v>納入：公共通行面有破玻璃或尖銳碎片，需要特別避讓清理。
界線／排除：若是交通事故或刑案本身為主訴，另分類；不推定碎片來源。</x:v>
      </x:c>
      <x:c r="G68" s="8" t="str">
        <x:v>草案未明示其他主類別；請人工確認</x:v>
      </x:c>
      <x:c r="H68" s="8" t="str">
        <x:v>草案區隔線索：若是交通事故或刑案本身為主訴，另分類；不推定碎片來源。；候選與既有家族是否有實質差異，待人工判斷。</x:v>
      </x:c>
      <x:c r="I68" s="9" t="str">
        <x:v>pending</x:v>
      </x:c>
      <x:c r="J68" s="9" t="str"/>
      <x:c r="K68" s="24" t="str">
        <x:v>pass</x:v>
      </x:c>
      <x:c r="L68" s="24" t="str">
        <x:v>公共通行面尖銳玻璃有特殊避讓及安全清理風險，與一般散落物相比具實質處理差異；不得推測來源。</x:v>
      </x:c>
      <x:c r="M68" s="24" t="str">
        <x:v>否</x:v>
      </x:c>
      <x:c r="N68" s="24" t="str">
        <x:v>高</x:v>
      </x:c>
      <x:c r="O68" s="40" t="str">
        <x:v>pass</x:v>
      </x:c>
      <x:c r="P68" s="41" t="str">
        <x:v>情境核心「公共通行面有破玻璃或尖銳碎片，需要特別避讓清理。」具可辨識案件差異，依建議保留。 保留原 ID 與情境核心，使用現有納入／排除界線。</x:v>
      </x:c>
    </x:row>
    <x:row r="69" ht="26.399999618530273" hidden="0" customHeight="1">
      <x:c r="A69" s="8" t="str">
        <x:v>FAM-CLEAN-MUD-SILT-FILM</x:v>
      </x:c>
      <x:c r="B69" s="8" t="str">
        <x:v>新增候選（49）</x:v>
      </x:c>
      <x:c r="C69" s="8" t="str">
        <x:v>路面清潔（含行人果皮箱、菸蒂、狗便）</x:v>
      </x:c>
      <x:c r="D69" s="8" t="str">
        <x:v>雨後泥土或細砂沉積成薄層，乾濕轉換造成滑動或鞋底帶泥。</x:v>
      </x:c>
      <x:c r="E69" s="8" t="str">
        <x:v>沉積深淺、雨後多久、範圍是否延伸、排水是否正常。</x:v>
      </x:c>
      <x:c r="F69" s="8" t="str">
        <x:v>納入：雨後泥土或細砂沉積成薄層，乾濕轉換造成滑動或鞋底帶泥。
界線／排除：排水溝／下水道故障為主訴時排除；人行鋪面沉陷另列維護。</x:v>
      </x:c>
      <x:c r="G69" s="8" t="str">
        <x:v>草案界線文字線索，待人工確認：人行道維護</x:v>
      </x:c>
      <x:c r="H69" s="8" t="str">
        <x:v>草案區隔線索：排水溝／下水道故障為主訴時排除；人行鋪面沉陷另列維護。；候選與既有家族是否有實質差異，待人工判斷。</x:v>
      </x:c>
      <x:c r="I69" s="9" t="str">
        <x:v>pending</x:v>
      </x:c>
      <x:c r="J69" s="9" t="str"/>
      <x:c r="K69" s="24" t="str">
        <x:v>pass</x:v>
      </x:c>
      <x:c r="L69" s="24" t="str">
        <x:v>雨後泥砂薄層以沉積與乾濕變化為核心，和鋪面沉陷、排水設施故障可按受損對象區分。</x:v>
      </x:c>
      <x:c r="M69" s="24" t="str">
        <x:v>是</x:v>
      </x:c>
      <x:c r="N69" s="24" t="str">
        <x:v>中</x:v>
      </x:c>
      <x:c r="O69" s="40" t="str">
        <x:v>pass</x:v>
      </x:c>
      <x:c r="P69" s="41" t="str">
        <x:v>情境核心「雨後泥土或細砂沉積成薄層，乾濕轉換造成滑動或鞋底帶泥。」具可辨識案件差異，依建議保留。 保留原 ID 與情境核心，使用現有納入／排除界線。</x:v>
      </x:c>
    </x:row>
    <x:row r="70" ht="15" hidden="0" customHeight="1">
      <x:c r="A70" s="8" t="str">
        <x:v>FAM-CLEAN-REACCUMULATING-DEBRIS</x:v>
      </x:c>
      <x:c r="B70" s="8" t="str">
        <x:v>新增候選（49）</x:v>
      </x:c>
      <x:c r="C70" s="8" t="str">
        <x:v>路面清潔（含行人果皮箱、菸蒂、狗便）</x:v>
      </x:c>
      <x:c r="D70" s="8" t="str">
        <x:v>公共路面清掃後短時間內因持續來源重新堆積，主訴是反覆回流而非單次髒污。</x:v>
      </x:c>
      <x:c r="E70" s="8" t="str">
        <x:v>清掃與再出現間隔、來源是否可見、累積是否集中同一路段。</x:v>
      </x:c>
      <x:c r="F70" s="8" t="str">
        <x:v>納入：公共路面清掃後短時間內因持續來源重新堆積，主訴是反覆回流而非單次髒污。
界線／排除：若是同一舊污未清乾淨，歸清掃殘留家族；若來自果皮箱，歸箱體家族。</x:v>
      </x:c>
      <x:c r="G70" s="8" t="str">
        <x:v>草案未明示其他主類別；請人工確認</x:v>
      </x:c>
      <x:c r="H70" s="8" t="str">
        <x:v>草案區隔線索：若是同一舊污未清乾淨，歸清掃殘留家族；若來自果皮箱，歸箱體家族。；候選與既有家族是否有實質差異，待人工判斷。</x:v>
      </x:c>
      <x:c r="I70" s="9" t="str">
        <x:v>pending</x:v>
      </x:c>
      <x:c r="J70" s="9" t="str"/>
      <x:c r="K70" s="24" t="str">
        <x:v>revise</x:v>
      </x:c>
      <x:c r="L70" s="24" t="str">
        <x:v>反覆再堆積與風吹散、清掃殘留可能重疊；目前依清掃後時間與來源區分，但來源可未知。建議要求明確觀察到新一輪累積，不然併入一般髒污。</x:v>
      </x:c>
      <x:c r="M70" s="24" t="str">
        <x:v>是</x:v>
      </x:c>
      <x:c r="N70" s="24" t="str">
        <x:v>低</x:v>
      </x:c>
      <x:c r="O70" s="40" t="str">
        <x:v>revise</x:v>
      </x:c>
      <x:c r="P70" s="41" t="str">
        <x:v>核心可暫留，但邊界或納入條件需補明後再確認。 區分清掃後新垃圾再累積與舊污未清。</x:v>
      </x:c>
    </x:row>
    <x:row r="71" ht="39.599998474121094" hidden="0" customHeight="1">
      <x:c r="A71" s="8" t="str">
        <x:v>FAM-CLEAN-WIND-DISPERSED-LITTER</x:v>
      </x:c>
      <x:c r="B71" s="8" t="str">
        <x:v>新增候選（49）</x:v>
      </x:c>
      <x:c r="C71" s="8" t="str">
        <x:v>路面清潔（含行人果皮箱、菸蒂、狗便）</x:v>
      </x:c>
      <x:c r="D71" s="8" t="str">
        <x:v>輕型紙屑或包裝被風吹散至公共路面，來源不一定是公共果皮箱。</x:v>
      </x:c>
      <x:c r="E71" s="8" t="str">
        <x:v>風後範圍、是否由單一公共箱外溢、是否反覆聚集。</x:v>
      </x:c>
      <x:c r="F71" s="8" t="str">
        <x:v>納入：輕型紙屑或包裝被風吹散至公共路面，來源不一定是公共果皮箱。
界線／排除：能確認源自箱體滿溢／損壞時回到相應箱體家族；不可推定來源。</x:v>
      </x:c>
      <x:c r="G71" s="8" t="str">
        <x:v>草案未明示其他主類別；請人工確認</x:v>
      </x:c>
      <x:c r="H71" s="8" t="str">
        <x:v>草案區隔線索：能確認源自箱體滿溢／損壞時回到相應箱體家族；不可推定來源。；候選與既有家族是否有實質差異，待人工判斷。</x:v>
      </x:c>
      <x:c r="I71" s="9" t="str">
        <x:v>pending</x:v>
      </x:c>
      <x:c r="J71" s="9" t="str"/>
      <x:c r="K71" s="24" t="str">
        <x:v>revise</x:v>
      </x:c>
      <x:c r="L71" s="24" t="str">
        <x:v>風散垃圾與一般散落物或果皮箱滿溢邊界依風因果及來源判斷，民眾常無法確認來源；建議以可觀察的風吹移動／風後聚集作為必要條件，否則歸一般髒污。</x:v>
      </x:c>
      <x:c r="M71" s="24" t="str">
        <x:v>是</x:v>
      </x:c>
      <x:c r="N71" s="24" t="str">
        <x:v>低</x:v>
      </x:c>
      <x:c r="O71" s="40" t="str">
        <x:v>merge</x:v>
      </x:c>
      <x:c r="P71" s="41" t="str">
        <x:v>建議不保留為獨立家族，情境改作目標家族的變化案例。 併入 FAM-CLEAN-SURFACE-DEBRIS；併入 FAM-CLEAN-BIN-OVERFLOW；併入 FAM-CLEAN-BIN-DAMAGE。一般併入一般路面散落物；明確源自果皮箱則併入果皮箱家族。</x:v>
      </x:c>
    </x:row>
    <x:row r="72" ht="26.399999618530273" hidden="0" customHeight="1">
      <x:c r="A72" s="8" t="str">
        <x:v>FAM-CLEAN-STORM-BRANCH-DEBRIS</x:v>
      </x:c>
      <x:c r="B72" s="8" t="str">
        <x:v>新增候選（49）</x:v>
      </x:c>
      <x:c r="C72" s="8" t="str">
        <x:v>路面清潔（含行人果皮箱、菸蒂、狗便）</x:v>
      </x:c>
      <x:c r="D72" s="8" t="str">
        <x:v>風雨後已脫落的枝葉或小段枝條留在公共通行面。</x:v>
      </x:c>
      <x:c r="E72" s="8" t="str">
        <x:v>枝葉大小、是否仍有可通行空間、是否還有懸掛危險。</x:v>
      </x:c>
      <x:c r="F72" s="8" t="str">
        <x:v>納入：風雨後已脫落的枝葉或小段枝條留在公共通行面。
界線／排除：仍連在樹上的危險枝條列樹木維護；倒樹或道路阻斷需另分類。</x:v>
      </x:c>
      <x:c r="G72" s="8" t="str">
        <x:v>草案界線文字線索，待人工確認：道路凹陷、不平、有高低差</x:v>
      </x:c>
      <x:c r="H72" s="8" t="str">
        <x:v>草案區隔線索：仍連在樹上的危險枝條列樹木維護；倒樹或道路阻斷需另分類。；候選與既有家族是否有實質差異，待人工判斷。</x:v>
      </x:c>
      <x:c r="I72" s="9" t="str">
        <x:v>pending</x:v>
      </x:c>
      <x:c r="J72" s="9" t="str"/>
      <x:c r="K72" s="24" t="str">
        <x:v>pass</x:v>
      </x:c>
      <x:c r="L72" s="24" t="str">
        <x:v>已脫落枝葉／小枝與仍連在樹上的植栽維護有清楚狀態差異；公共通行面清理有明確風險。</x:v>
      </x:c>
      <x:c r="M72" s="24" t="str">
        <x:v>是</x:v>
      </x:c>
      <x:c r="N72" s="24" t="str">
        <x:v>中</x:v>
      </x:c>
      <x:c r="O72" s="40" t="str">
        <x:v>pass</x:v>
      </x:c>
      <x:c r="P72" s="41" t="str">
        <x:v>情境核心「風雨後已脫落的枝葉或小段枝條留在公共通行面。」具可辨識案件差異，依建議保留。 保留原 ID 與情境核心，使用現有納入／排除界線。</x:v>
      </x:c>
    </x:row>
    <x:row r="73" ht="15" hidden="0" customHeight="1">
      <x:c r="A73" s="8" t="str">
        <x:v>FAM-CLEAN-LOOSE-GRIT</x:v>
      </x:c>
      <x:c r="B73" s="8" t="str">
        <x:v>新增候選（49）</x:v>
      </x:c>
      <x:c r="C73" s="8" t="str">
        <x:v>路面清潔（含行人果皮箱、菸蒂、狗便）</x:v>
      </x:c>
      <x:c r="D73" s="8" t="str">
        <x:v>沙粒、碎石或鬆散顆粒散在公共道路表面，車輪或鞋底會滑移。</x:v>
      </x:c>
      <x:c r="E73" s="8" t="str">
        <x:v>顆粒密度、覆蓋路徑、是否呈線狀散落及持續時間。</x:v>
      </x:c>
      <x:c r="F73" s="8" t="str">
        <x:v>納入：沙粒、碎石或鬆散顆粒散在公共道路表面，車輪或鞋底會滑移。
界線／排除：若是鋪面本體剝落歸道路／人行道維護；大型物料外洩需另分類。</x:v>
      </x:c>
      <x:c r="G73" s="8" t="str">
        <x:v>草案界線文字線索，待人工確認：人行道維護；道路凹陷、不平、有高低差</x:v>
      </x:c>
      <x:c r="H73" s="8" t="str">
        <x:v>草案區隔線索：若是鋪面本體剝落歸道路／人行道維護；大型物料外洩需另分類。；候選與既有家族是否有實質差異，待人工判斷。</x:v>
      </x:c>
      <x:c r="I73" s="9" t="str">
        <x:v>pending</x:v>
      </x:c>
      <x:c r="J73" s="9" t="str"/>
      <x:c r="K73" s="24" t="str">
        <x:v>pass</x:v>
      </x:c>
      <x:c r="L73" s="24" t="str">
        <x:v>外來沙粒／碎石需清掃，與鋪面本體剝落及車行材料失效已排除；滑移風險提供穩定差異。</x:v>
      </x:c>
      <x:c r="M73" s="24" t="str">
        <x:v>是</x:v>
      </x:c>
      <x:c r="N73" s="24" t="str">
        <x:v>中</x:v>
      </x:c>
      <x:c r="O73" s="40" t="str">
        <x:v>revise</x:v>
      </x:c>
      <x:c r="P73" s="41" t="str">
        <x:v>核心可暫留，但邊界或納入條件需補明後再確認。 確認是外來鬆散顆粒，不是鋪面本身剝落。</x:v>
      </x:c>
    </x:row>
    <x:row r="74" ht="26.399999618530273" hidden="0" customHeight="1">
      <x:c r="A74" s="8" t="str">
        <x:v>FAM-CLEAN-GUM-ADHERED-RESIDUE</x:v>
      </x:c>
      <x:c r="B74" s="8" t="str">
        <x:v>新增候選（49）</x:v>
      </x:c>
      <x:c r="C74" s="8" t="str">
        <x:v>路面清潔（含行人果皮箱、菸蒂、狗便）</x:v>
      </x:c>
      <x:c r="D74" s="8" t="str">
        <x:v>口香糖或類似黏著殘留附著在公共鋪面，掃除後仍留有黏點。</x:v>
      </x:c>
      <x:c r="E74" s="8" t="str">
        <x:v>單點／成片、殘留是否突出、步行感受及清潔後狀態。</x:v>
      </x:c>
      <x:c r="F74" s="8" t="str">
        <x:v>納入：口香糖或類似黏著殘留附著在公共鋪面，掃除後仍留有黏點。
界線／排除：新鮮飲料或食物潑灑先併既有一般髒污；私人地面不列本類。</x:v>
      </x:c>
      <x:c r="G74" s="8" t="str">
        <x:v>草案未明示其他主類別；請人工確認</x:v>
      </x:c>
      <x:c r="H74" s="8" t="str">
        <x:v>草案區隔線索：新鮮飲料或食物潑灑先併既有一般髒污；私人地面不列本類。；候選與既有家族是否有實質差異，待人工判斷。</x:v>
      </x:c>
      <x:c r="I74" s="9" t="str">
        <x:v>pending</x:v>
      </x:c>
      <x:c r="J74" s="9" t="str"/>
      <x:c r="K74" s="24" t="str">
        <x:v>reject</x:v>
      </x:c>
      <x:c r="L74" s="24" t="str">
        <x:v>口香糖／黏著殘留目前只按污物材料區分，且可直接落入既有一般路面髒污；沒有足夠獨立的服務流程或對話結構，建議不另立家族。</x:v>
      </x:c>
      <x:c r="M74" s="24" t="str">
        <x:v>是</x:v>
      </x:c>
      <x:c r="N74" s="24" t="str">
        <x:v>低</x:v>
      </x:c>
      <x:c r="O74" s="40" t="str">
        <x:v>merge</x:v>
      </x:c>
      <x:c r="P74" s="41" t="str">
        <x:v>建議不保留為獨立家族，情境改作目標家族的變化案例。 併入 FAM-CLEAN-SURFACE-DEBRIS。黏附殘留併入一般路面髒污。</x:v>
      </x:c>
    </x:row>
    <x:row r="75" ht="26.399999618530273" hidden="0" customHeight="1">
      <x:c r="A75" s="8" t="str">
        <x:v>FAM-CLEAN-POST-SWEEP-RESIDUE</x:v>
      </x:c>
      <x:c r="B75" s="8" t="str">
        <x:v>新增候選（49）</x:v>
      </x:c>
      <x:c r="C75" s="8" t="str">
        <x:v>路面清潔（含行人果皮箱、菸蒂、狗便）</x:v>
      </x:c>
      <x:c r="D75" s="8" t="str">
        <x:v>已有清掃但同一區域仍留有一段髒污，主訴是清潔未完成或殘留。</x:v>
      </x:c>
      <x:c r="E75" s="8" t="str">
        <x:v>清掃前後觀察、殘留位置是否固定、剩餘髒污的範圍。</x:v>
      </x:c>
      <x:c r="F75" s="8" t="str">
        <x:v>納入：已有清掃但同一區域仍留有一段髒污，主訴是清潔未完成或殘留。
界線／排除：若清掃後又出現新垃圾，需區分新來源與未清乾淨；不推定清潔人員失職。</x:v>
      </x:c>
      <x:c r="G75" s="8" t="str">
        <x:v>草案未明示其他主類別；請人工確認</x:v>
      </x:c>
      <x:c r="H75" s="8" t="str">
        <x:v>草案區隔線索：若清掃後又出現新垃圾，需區分新來源與未清乾淨；不推定清潔人員失職。；候選與既有家族是否有實質差異，待人工判斷。</x:v>
      </x:c>
      <x:c r="I75" s="9" t="str">
        <x:v>pending</x:v>
      </x:c>
      <x:c r="J75" s="9" t="str"/>
      <x:c r="K75" s="24" t="str">
        <x:v>revise</x:v>
      </x:c>
      <x:c r="L75" s="24" t="str">
        <x:v>清掃後仍有殘留與新垃圾再次出現的區別有用，但和一般髒污、反覆累積及狗便舊污家族交疊；建議明確要求同一污痕清掃前後可比對的證據。</x:v>
      </x:c>
      <x:c r="M75" s="24" t="str">
        <x:v>是</x:v>
      </x:c>
      <x:c r="N75" s="24" t="str">
        <x:v>低</x:v>
      </x:c>
      <x:c r="O75" s="40" t="str">
        <x:v>pass</x:v>
      </x:c>
      <x:c r="P75" s="41" t="str">
        <x:v>情境核心「已有清掃但同一區域仍留有一段髒污，主訴是清潔未完成或殘留。」具可辨識案件差異，依建議保留。 保留原 ID 與情境核心，使用現有納入／排除界線。</x:v>
      </x:c>
    </x:row>
    <x:row r="76" ht="26.399999618530273" hidden="0" customHeight="1">
      <x:c r="A76" s="8" t="str">
        <x:v>FAM-CLEAN-DOG-WASTE-PERSISTENT-RESIDUE</x:v>
      </x:c>
      <x:c r="B76" s="8" t="str">
        <x:v>新增候選（49）</x:v>
      </x:c>
      <x:c r="C76" s="8" t="str">
        <x:v>路面清潔（含行人果皮箱、菸蒂、狗便）</x:v>
      </x:c>
      <x:c r="D76" s="8" t="str">
        <x:v>多次清掃後同一處仍有乾掉的狗便殘痕，來電者在意舊污未清除。</x:v>
      </x:c>
      <x:c r="E76" s="8" t="str">
        <x:v>是否是同一舊痕、清掃後殘留、潮濕時可見度與位置變化。</x:v>
      </x:c>
      <x:c r="F76" s="8" t="str">
        <x:v>納入：多次清掃後同一處仍有乾掉的狗便殘痕，來電者在意舊污未清除。
界線／排除：若是每天新出現的不同點位，使用既有狗便家族；新增家族只保留舊污殘留證據清楚的情境。</x:v>
      </x:c>
      <x:c r="G76" s="8" t="str">
        <x:v>草案未明示其他主類別；請人工確認</x:v>
      </x:c>
      <x:c r="H76" s="8" t="str">
        <x:v>草案區隔線索：若是每天新出現的不同點位，使用既有狗便家族；新增家族只保留舊污殘留證據清楚的情境。；候選與既有家族是否有實質差異，待人工判斷。</x:v>
      </x:c>
      <x:c r="I76" s="9" t="str">
        <x:v>pending</x:v>
      </x:c>
      <x:c r="J76" s="9" t="str"/>
      <x:c r="K76" s="24" t="str">
        <x:v>reject</x:v>
      </x:c>
      <x:c r="L76" s="24" t="str">
        <x:v>乾掉狗便殘痕是既有狗便家族已涵蓋的新舊／反覆變化，也與清掃未完成家族重疊；差異主要是污物種類及時間狀態，建議併回既有家族。</x:v>
      </x:c>
      <x:c r="M76" s="24" t="str">
        <x:v>是</x:v>
      </x:c>
      <x:c r="N76" s="24" t="str">
        <x:v>低</x:v>
      </x:c>
      <x:c r="O76" s="42" t="str">
        <x:v>merge</x:v>
      </x:c>
      <x:c r="P76" s="43" t="str">
        <x:v>建議不保留為獨立家族，情境改作目標家族的變化案例。 併入 FAM-CLEAN-DOG-WASTE；併入 FAM-CLEAN-POST-SWEEP-RESIDUE。依內容併入狗便清理或清掃後殘留。</x:v>
      </x:c>
    </x:row>
  </x:sheetData>
  <x:dataValidations count="4">
    <x:dataValidation type="list" sqref="I2:I76">
      <x:formula1>"pending,pass,revise,reject"</x:formula1>
    </x:dataValidation>
    <x:dataValidation type="list" sqref="K2:K76">
      <x:formula1>"pass,revise,reject"</x:formula1>
    </x:dataValidation>
    <x:dataValidation type="list" sqref="M2:M76">
      <x:formula1>"是,否"</x:formula1>
    </x:dataValidation>
    <x:dataValidation type="list" sqref="N2:N76">
      <x:formula1>"高,中,低"</x:formula1>
    </x:dataValidation>
  </x:dataValidations>
  <x:pageMargins left="0.7" right="0.7" top="0.75" bottom="0.75" header="0.3" footer="0.3"/>
  <x:tableParts count="1">
    <x:tablePart xmlns:r="http://schemas.openxmlformats.org/officeDocument/2006/relationships" r:id="R2386ff1d7cd141ba"/>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00" hidden="0" customWidth="1"/>
  </x:cols>
  <x:sheetData>
    <x:row r="1" ht="36" customHeight="1">
      <x:c r="A1" s="6" t="str">
        <x:v>檢查項目</x:v>
      </x:c>
      <x:c r="B1" s="6" t="str">
        <x:v>複核方式</x:v>
      </x:c>
    </x:row>
    <x:row r="2" ht="46" customHeight="1">
      <x:c r="A2" s="11" t="str">
        <x:v>資料範圍</x:v>
      </x:c>
      <x:c r="B2" s="8" t="str">
        <x:v>Pilot 表含 pilot_v1.2.1.jsonl 的全部 50 筆；家族表含 taxonomy_expansion_draft_v1.1 的全部 75 個家族（既有 26、新增候選 49）。</x:v>
      </x:c>
    </x:row>
    <x:row r="3" ht="46" customHeight="1">
      <x:c r="A3" s="11" t="str">
        <x:v>來源狀態</x:v>
      </x:c>
      <x:c r="B3" s="8" t="str">
        <x:v>來源 pilot 的 review_status 目前 50 筆皆為 pending_manual_review。本活頁簿的「人工決定」另行追蹤，初始值全部為 pending；不要把表格決定回寫到來源 JSONL。</x:v>
      </x:c>
    </x:row>
    <x:row r="4" ht="34" customHeight="1">
      <x:c r="A4" s="11" t="str">
        <x:v>Pilot：分類與主問題</x:v>
      </x:c>
      <x:c r="B4" s="8" t="str">
        <x:v>確認 label_name 是否符合逐字稿主要案件；每筆只應有一個主要案件問題，客服追問應服務於同一問題。</x:v>
      </x:c>
    </x:row>
    <x:row r="5" ht="34" customHeight="1">
      <x:c r="A5" s="11" t="str">
        <x:v>Pilot：連貫與口語</x:v>
      </x:c>
      <x:c r="B5" s="8" t="str">
        <x:v>檢查多輪對話前後承接、時間順序與狀況變化是否一致；確認用語像臺灣民眾與客服自然通話，避免固定問答順序或重複模板。</x:v>
      </x:c>
    </x:row>
    <x:row r="6" ht="34" customHeight="1">
      <x:c r="A6" s="11" t="str">
        <x:v>Pilot：位置與個資</x:v>
      </x:c>
      <x:c r="B6" s="8" t="str">
        <x:v>確認概略區域足以理解案件，但不含門牌、電話、姓名或可定位單一地點的組合；留意對話中可能被組合後識別的細節。</x:v>
      </x:c>
    </x:row>
    <x:row r="7" ht="34" customHeight="1">
      <x:c r="A7" s="11" t="str">
        <x:v>Pilot：相似度</x:v>
      </x:c>
      <x:c r="B7" s="8" t="str">
        <x:v>與其他 49 筆交叉比對案件核心、補充細節、追問順序和結尾；相同家族可有共同核心，但不能只是換地點、時間或名詞。</x:v>
      </x:c>
    </x:row>
    <x:row r="8" ht="34" customHeight="1">
      <x:c r="A8" s="11" t="str">
        <x:v>家族：納入與排除</x:v>
      </x:c>
      <x:c r="B8" s="8" t="str">
        <x:v>確認情境核心能界定哪些案件屬於該家族、排除條件是否可操作，並與官方主類別範圍一致。</x:v>
      </x:c>
    </x:row>
    <x:row r="9" ht="34" customHeight="1">
      <x:c r="A9" s="11" t="str">
        <x:v>家族：新增候選差異</x:v>
      </x:c>
      <x:c r="B9" s="8" t="str">
        <x:v>逐一比較既有 26 個家族，檢查候選是否有實質不同的案件核心或對話釐清方式；若只是名詞或位置替換，建議 revise 或 reject。</x:v>
      </x:c>
    </x:row>
    <x:row r="10" ht="34" customHeight="1">
      <x:c r="A10" s="11" t="str">
        <x:v>家族：易混淆邊界</x:v>
      </x:c>
      <x:c r="B10" s="8" t="str">
        <x:v>核對易混淆類別與既有家族的分界。草案提供的文字線索是供檢視，不代表已確認分類正確。</x:v>
      </x:c>
    </x:row>
    <x:row r="11" ht="34" customHeight="1">
      <x:c r="A11" s="11" t="str">
        <x:v>pass</x:v>
      </x:c>
      <x:c r="B11" s="8" t="str">
        <x:v>只有在複核者確認所有必要條件均符合、且沒有尚待處理的實質問題後使用。逐字稿或家族表中的修改意見應留空或記錄已確認內容。</x:v>
      </x:c>
    </x:row>
    <x:row r="12" ht="34" customHeight="1">
      <x:c r="A12" s="11" t="str">
        <x:v>revise</x:v>
      </x:c>
      <x:c r="B12" s="8" t="str">
        <x:v>適用於核心可保留、但文字、界線或內容需修訂的項目。記錄具體問題；修訂後需重新複核，決定維持 revise 直到複核完成。</x:v>
      </x:c>
    </x:row>
    <x:row r="13" ht="34" customHeight="1">
      <x:c r="A13" s="11" t="str">
        <x:v>reject</x:v>
      </x:c>
      <x:c r="B13" s="8" t="str">
        <x:v>適用於分類不成立、家族與既有項目無足夠差異，或無法在不捏造／違反規格下修復的項目。記錄理由並交由負責人處理。</x:v>
      </x:c>
    </x:row>
    <x:row r="14" ht="34" customHeight="1">
      <x:c r="A14" s="11" t="str">
        <x:v>pending</x:v>
      </x:c>
      <x:c r="B14" s="8" t="str">
        <x:v>尚未完成判斷的預設值。不要因為欄位空白、格式檢查通過或其他紀錄已複核而改成 pass。</x:v>
      </x:c>
    </x:row>
    <x:row r="15" ht="34" customHeight="1">
      <x:c r="A15" s="11" t="str">
        <x:v>後續生成關卡</x:v>
      </x:c>
      <x:c r="B15" s="8" t="str">
        <x:v>Pilot 50 筆須有明確人工複核紀錄後，正式資料生成才可開始。Taxonomy 核准、family 邊界決定與 split manifest 凍結也都是前置關卡。</x:v>
      </x:c>
    </x:row>
    <x:row r="16" ht="34" customHeight="1">
      <x:c r="A16" s="11" t="str">
        <x:v>切分補充</x:v>
      </x:c>
      <x:c r="B16" s="8" t="str">
        <x:v>比較表只評估 9/3/3 與 8/3/4 的容量及取捨。它不改寫、不凍結 formal_split_manifest_draft_v1.0.yaml。</x:v>
      </x:c>
    </x:row>
    <x:row r="17" ht="46" customHeight="1">
      <x:c r="A17" s="11" t="str">
        <x:v>來源檔案</x:v>
      </x:c>
      <x:c r="B17" s="8" t="str">
        <x:v>pilot_v1.2.1.jsonl；taxonomy_expansion_draft_v1.1.md；formal_generation_plan_v1.1.md；formal_split_manifest_draft_v1.0.yaml。</x:v>
      </x:c>
    </x:row>
    <x:row r="19" ht="42" customHeight="1">
      <x:c r="A19" s="28" t="str">
        <x:v>AI 初審結果</x:v>
      </x:c>
      <x:c r="B19" s="28" t="str">
        <x:v>以下為 AI 建議，僅供人工判斷；不等同人工核准，也不代表可開始正式資料生成。原「人工決定」與「人工意見」欄未作修改。</x:v>
      </x:c>
    </x:row>
  </x:sheetData>
  <x:pageMargins left="0.7" right="0.7" top="0.75" bottom="0.75" header="0.3" footer="0.3"/>
  <x:tableParts count="1">
    <x:tablePart xmlns:r="http://schemas.openxmlformats.org/officeDocument/2006/relationships" r:id="Rce4dfb1a11e74f71"/>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2" hidden="0" customWidth="1"/>
    <x:col min="2" max="2" width="110" hidden="0" customWidth="1"/>
    <x:col min="3" max="3" width="78" hidden="0" customWidth="1"/>
    <x:col min="4" max="4" width="20" hidden="0" customWidth="1"/>
    <x:col min="5" max="5" width="18" hidden="0" customWidth="1"/>
    <x:col min="6" max="6" width="20" hidden="0" customWidth="1"/>
    <x:col min="7" max="7" width="24" hidden="0" customWidth="1"/>
  </x:cols>
  <x:sheetData>
    <x:row r="1" ht="36" customHeight="1">
      <x:c r="A1" s="6" t="str">
        <x:v>方案</x:v>
      </x:c>
      <x:c r="B1" s="6" t="str">
        <x:v>split</x:v>
      </x:c>
      <x:c r="C1" s="6" t="str">
        <x:v>每類預計筆數</x:v>
      </x:c>
      <x:c r="D1" s="6" t="str">
        <x:v>全體預計筆數</x:v>
      </x:c>
      <x:c r="E1" s="6" t="str">
        <x:v>每類家族數</x:v>
      </x:c>
      <x:c r="F1" s="6" t="str">
        <x:v>全體家族數</x:v>
      </x:c>
      <x:c r="G1" s="6" t="str">
        <x:v>每家族筆數範圍</x:v>
      </x:c>
    </x:row>
    <x:row r="2">
      <x:c r="A2" s="8" t="str">
        <x:v>70/15/15（目前 manifest 草案）</x:v>
      </x:c>
      <x:c r="B2" s="8" t="str">
        <x:v>train</x:v>
      </x:c>
      <x:c r="C2" s="8" t="n">
        <x:v>140</x:v>
      </x:c>
      <x:c r="D2" s="8" t="n">
        <x:v>700</x:v>
      </x:c>
      <x:c r="E2" s="8" t="n">
        <x:v>9</x:v>
      </x:c>
      <x:c r="F2" s="8" t="n">
        <x:v>45</x:v>
      </x:c>
      <x:c r="G2" s="8" t="str">
        <x:v>15–16</x:v>
      </x:c>
    </x:row>
    <x:row r="3">
      <x:c r="A3" s="8" t="str">
        <x:v>70/15/15（目前 manifest 草案）</x:v>
      </x:c>
      <x:c r="B3" s="8" t="str">
        <x:v>validation</x:v>
      </x:c>
      <x:c r="C3" s="8" t="n">
        <x:v>30</x:v>
      </x:c>
      <x:c r="D3" s="8" t="n">
        <x:v>150</x:v>
      </x:c>
      <x:c r="E3" s="8" t="n">
        <x:v>3</x:v>
      </x:c>
      <x:c r="F3" s="8" t="n">
        <x:v>15</x:v>
      </x:c>
      <x:c r="G3" s="8" t="str">
        <x:v>10</x:v>
      </x:c>
    </x:row>
    <x:row r="4">
      <x:c r="A4" s="8" t="str">
        <x:v>70/15/15（目前 manifest 草案）</x:v>
      </x:c>
      <x:c r="B4" s="8" t="str">
        <x:v>test</x:v>
      </x:c>
      <x:c r="C4" s="8" t="n">
        <x:v>30</x:v>
      </x:c>
      <x:c r="D4" s="8" t="n">
        <x:v>150</x:v>
      </x:c>
      <x:c r="E4" s="8" t="n">
        <x:v>3</x:v>
      </x:c>
      <x:c r="F4" s="8" t="n">
        <x:v>15</x:v>
      </x:c>
      <x:c r="G4" s="8" t="str">
        <x:v>10</x:v>
      </x:c>
    </x:row>
    <x:row r="5">
      <x:c r="A5" s="8" t="str">
        <x:v>70/15/15（替代 8/3/4 家族）</x:v>
      </x:c>
      <x:c r="B5" s="8" t="str">
        <x:v>train</x:v>
      </x:c>
      <x:c r="C5" s="8" t="n">
        <x:v>140</x:v>
      </x:c>
      <x:c r="D5" s="8" t="n">
        <x:v>700</x:v>
      </x:c>
      <x:c r="E5" s="8" t="n">
        <x:v>8</x:v>
      </x:c>
      <x:c r="F5" s="8" t="n">
        <x:v>40</x:v>
      </x:c>
      <x:c r="G5" s="8" t="str">
        <x:v>17–18</x:v>
      </x:c>
    </x:row>
    <x:row r="6">
      <x:c r="A6" s="8" t="str">
        <x:v>70/15/15（替代 8/3/4 家族）</x:v>
      </x:c>
      <x:c r="B6" s="8" t="str">
        <x:v>validation</x:v>
      </x:c>
      <x:c r="C6" s="8" t="n">
        <x:v>30</x:v>
      </x:c>
      <x:c r="D6" s="8" t="n">
        <x:v>150</x:v>
      </x:c>
      <x:c r="E6" s="8" t="n">
        <x:v>3</x:v>
      </x:c>
      <x:c r="F6" s="8" t="n">
        <x:v>15</x:v>
      </x:c>
      <x:c r="G6" s="8" t="str">
        <x:v>10</x:v>
      </x:c>
    </x:row>
    <x:row r="7">
      <x:c r="A7" s="8" t="str">
        <x:v>70/15/15（替代 8/3/4 家族）</x:v>
      </x:c>
      <x:c r="B7" s="8" t="str">
        <x:v>test</x:v>
      </x:c>
      <x:c r="C7" s="8" t="n">
        <x:v>30</x:v>
      </x:c>
      <x:c r="D7" s="8" t="n">
        <x:v>150</x:v>
      </x:c>
      <x:c r="E7" s="8" t="n">
        <x:v>4</x:v>
      </x:c>
      <x:c r="F7" s="8" t="n">
        <x:v>20</x:v>
      </x:c>
      <x:c r="G7" s="8" t="str">
        <x:v>7–8</x:v>
      </x:c>
    </x:row>
    <x:row r="10">
      <x:c r="A10" s="13" t="str">
        <x:v>方案</x:v>
      </x:c>
      <x:c r="B10" s="13" t="str">
        <x:v>優點</x:v>
      </x:c>
      <x:c r="C10" s="13" t="str">
        <x:v>限制與注意事項</x:v>
      </x:c>
    </x:row>
    <x:row r="11" ht="72" customHeight="1">
      <x:c r="A11" s="15" t="str">
        <x:v>9/3/3 家族配置</x:v>
      </x:c>
      <x:c r="B11" s="15" t="str">
        <x:v>每類 9 個 train 家族，訓練資料分布到較多家族；每個 validation/test 家族各 10 筆。</x:v>
      </x:c>
      <x:c r="C11" s="15" t="str">
        <x:v>每類 test 僅 3 個家族，家族廣度有限。</x:v>
      </x:c>
    </x:row>
    <x:row r="12" ht="72" customHeight="1">
      <x:c r="A12" s="15" t="str">
        <x:v>8/3/4 家族配置</x:v>
      </x:c>
      <x:c r="B12" s="15" t="str">
        <x:v>每類 test 增至 4 個家族，測試涵蓋面較廣；總筆數及 140/30/30 配額不變。</x:v>
      </x:c>
      <x:c r="C12" s="15" t="str">
        <x:v>train 家族減少 1 個且各承載 17–18 筆；test 每家族降至 7–8 筆；validation 仍只有 3 個家族。</x:v>
      </x:c>
    </x:row>
    <x:row r="15">
      <x:c r="A15" s="4" t="str">
        <x:v>說明項目</x:v>
      </x:c>
      <x:c r="B15" s="4" t="str">
        <x:v>內容</x:v>
      </x:c>
    </x:row>
    <x:row r="16" ht="56" customHeight="1">
      <x:c r="A16" s="15" t="str">
        <x:v>每類與全體筆數</x:v>
      </x:c>
      <x:c r="B16" s="15" t="str">
        <x:v>兩方案每類固定 200 筆；train／validation／test 為 140／30／30；全體為 700／150／150。</x:v>
      </x:c>
    </x:row>
    <x:row r="17" ht="56" customHeight="1">
      <x:c r="A17" s="15" t="str">
        <x:v>家族筆數分配</x:v>
      </x:c>
      <x:c r="B17" s="15" t="str">
        <x:v>9/3/3：train 為 5 個家族各 16 筆、4 個各 15 筆；validation/test 各 3 個家族、每家族 10 筆。8/3/4：train 為 4 個家族各 18 筆、4 個各 17 筆；validation 3 個各 10 筆；test 2 個各 8 筆、2 個各 7 筆。</x:v>
      </x:c>
    </x:row>
    <x:row r="18" ht="56" customHeight="1">
      <x:c r="A18" s="15" t="str">
        <x:v>manifest 狀態</x:v>
      </x:c>
      <x:c r="B18" s="15" t="str">
        <x:v>此表只作比較。formal_split_manifest_draft_v1.0.yaml 維持 70/15/15、9/3/3、draft_unfrozen；本次未修改或凍結該檔。</x:v>
      </x:c>
    </x:row>
  </x:sheetData>
  <x:pageMargins left="0.7" right="0.7" top="0.75" bottom="0.75" header="0.3" footer="0.3"/>
  <x:tableParts count="3">
    <x:tablePart xmlns:r="http://schemas.openxmlformats.org/officeDocument/2006/relationships" r:id="Rcf3aabd41252496f"/>
    <x:tablePart xmlns:r="http://schemas.openxmlformats.org/officeDocument/2006/relationships" r:id="R976f193b30a84144"/>
    <x:tablePart xmlns:r="http://schemas.openxmlformats.org/officeDocument/2006/relationships" r:id="R559eba34934c4c95"/>
  </x:tableParts>
</x:worksheet>
</file>